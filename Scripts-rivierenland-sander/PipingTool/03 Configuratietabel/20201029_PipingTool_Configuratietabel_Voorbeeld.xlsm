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7.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905329\Box Sync\BH2549 Pipingtool\BH2549 Pipingtool Team\BH2549 Technical Data\01 Configuratietabel\Ontwikkeling template\"/>
    </mc:Choice>
  </mc:AlternateContent>
  <xr:revisionPtr revIDLastSave="0" documentId="13_ncr:1_{14CCA9AF-98FD-460B-A2B2-BBB1D2CF9A95}" xr6:coauthVersionLast="45" xr6:coauthVersionMax="45" xr10:uidLastSave="{00000000-0000-0000-0000-000000000000}"/>
  <bookViews>
    <workbookView xWindow="-28920" yWindow="-2190" windowWidth="29040" windowHeight="15840" tabRatio="846" xr2:uid="{00000000-000D-0000-FFFF-FFFF00000000}"/>
  </bookViews>
  <sheets>
    <sheet name="Configuratietabel" sheetId="18" r:id="rId1"/>
    <sheet name="CalculationSettings" sheetId="12" r:id="rId2"/>
    <sheet name="DataDijkvakken" sheetId="15" r:id="rId3"/>
    <sheet name="GenererenScenarios" sheetId="17" r:id="rId4"/>
    <sheet name="Ondergrondscenarios" sheetId="13" r:id="rId5"/>
    <sheet name="InputsUittredepunten" sheetId="1" r:id="rId6"/>
    <sheet name="Lookup" sheetId="2" state="hidden" r:id="rId7"/>
  </sheets>
  <definedNames>
    <definedName name="_xlnm._FilterDatabase" localSheetId="5" hidden="1">InputsUittredepunten!$A$1:$L$25</definedName>
    <definedName name="a_l">CalculationSettings!$G$7</definedName>
    <definedName name="AantalDijkvakken">GenererenScenarios!$C$9</definedName>
    <definedName name="b_l">CalculationSettings!$G$8</definedName>
    <definedName name="ClearScenarios">Ondergrondscenarios!$8:$307</definedName>
    <definedName name="coefficient_white">CalculationSettings!$G$19</definedName>
    <definedName name="d70_ref">CalculationSettings!$G$20</definedName>
    <definedName name="doorlatendheidDikkeDeklaag">CalculationSettings!$G$40</definedName>
    <definedName name="doorlatendheidDunneDeklaag">CalculationSettings!$G$39</definedName>
    <definedName name="Fieldtypes">Lookup!$A$1:$A$5</definedName>
    <definedName name="gamma_p">CalculationSettings!$G$21</definedName>
    <definedName name="gamma_w">CalculationSettings!$G$22</definedName>
    <definedName name="grensDikte">CalculationSettings!$G$41</definedName>
    <definedName name="i_c_h">CalculationSettings!$G$27</definedName>
    <definedName name="KarkSpreidinglengteVoorland">CalculationSettings!$G$35</definedName>
    <definedName name="KoppelingTypen">Lookup!$B$1:$B$2</definedName>
    <definedName name="L">CalculationSettings!$G$6</definedName>
    <definedName name="m_he">CalculationSettings!$G$26</definedName>
    <definedName name="m_p">CalculationSettings!$G$16</definedName>
    <definedName name="m_u">CalculationSettings!$G$25</definedName>
    <definedName name="MaxRatioPipeLengteKwelweglengte">CalculationSettings!$G$24</definedName>
    <definedName name="Overstromingskans">CalculationSettings!$J$11:$J$12</definedName>
    <definedName name="PercentielSpreidingslengteVoorland">CalculationSettings!$G$37</definedName>
    <definedName name="rekenmethodiekLeklengte">CalculationSettings!$G$32</definedName>
    <definedName name="Return_eis_ond">CalculationSettings!$G$10</definedName>
    <definedName name="Return_eis_selectie">CalculationSettings!$G$11</definedName>
    <definedName name="Return_eis_sign">CalculationSettings!$G$9</definedName>
    <definedName name="RootFolderInput">#REF!</definedName>
    <definedName name="Scenario1">GenererenScenarios!$B$3</definedName>
    <definedName name="Scenario2">GenererenScenarios!$B$4</definedName>
    <definedName name="Scenario3">GenererenScenarios!$B$5</definedName>
    <definedName name="Scenario4">GenererenScenarios!$B$6</definedName>
    <definedName name="Scenario5">GenererenScenarios!$B$7</definedName>
    <definedName name="Scenario6">GenererenScenarios!$B$8</definedName>
    <definedName name="ScenarioCopy">Ondergrondscenarios!$2:$7</definedName>
    <definedName name="Scenarionamen">Table3[Scenarionamen]</definedName>
    <definedName name="Scenariotype">CalculationSettings!$B$44:$B$47</definedName>
    <definedName name="SchoneRijen">GenererenScenarios!$50:$55</definedName>
    <definedName name="theta">CalculationSettings!$G$18</definedName>
    <definedName name="VCSpreidingslengteVoorland">CalculationSettings!$G$36</definedName>
    <definedName name="visc">CalculationSettings!$G$17</definedName>
    <definedName name="w">CalculationSettings!$G$5</definedName>
  </definedNames>
  <calcPr calcId="191029" iterateCount="0" iterateDelta="0"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07" i="13" l="1"/>
  <c r="D306" i="13"/>
  <c r="D305" i="13"/>
  <c r="D304" i="13"/>
  <c r="D303" i="13"/>
  <c r="D302" i="13"/>
  <c r="A302" i="13"/>
  <c r="A303" i="13"/>
  <c r="A304" i="13"/>
  <c r="A305" i="13"/>
  <c r="A306" i="13"/>
  <c r="A307" i="13"/>
  <c r="B307" i="13"/>
  <c r="C307" i="13"/>
  <c r="Z307" i="13"/>
  <c r="E307" i="13"/>
  <c r="Y307" i="13"/>
  <c r="G307" i="13"/>
  <c r="K307" i="13"/>
  <c r="V307" i="13"/>
  <c r="W307" i="13"/>
  <c r="T307" i="13"/>
  <c r="O307" i="13"/>
  <c r="M307" i="13"/>
  <c r="P307" i="13"/>
  <c r="N307" i="13"/>
  <c r="Q307" i="13"/>
  <c r="B306" i="13"/>
  <c r="C306" i="13"/>
  <c r="Z306" i="13"/>
  <c r="E306" i="13"/>
  <c r="Y306" i="13"/>
  <c r="G306" i="13"/>
  <c r="K306" i="13"/>
  <c r="V306" i="13"/>
  <c r="W306" i="13"/>
  <c r="T306" i="13"/>
  <c r="O306" i="13"/>
  <c r="M306" i="13"/>
  <c r="P306" i="13"/>
  <c r="N306" i="13"/>
  <c r="Q306" i="13"/>
  <c r="B305" i="13"/>
  <c r="C305" i="13"/>
  <c r="Z305" i="13"/>
  <c r="E305" i="13"/>
  <c r="Y305" i="13"/>
  <c r="G305" i="13"/>
  <c r="K305" i="13"/>
  <c r="V305" i="13"/>
  <c r="W305" i="13"/>
  <c r="T305" i="13"/>
  <c r="O305" i="13"/>
  <c r="M305" i="13"/>
  <c r="P305" i="13"/>
  <c r="N305" i="13"/>
  <c r="Q305" i="13"/>
  <c r="B304" i="13"/>
  <c r="C304" i="13"/>
  <c r="Z304" i="13"/>
  <c r="E304" i="13"/>
  <c r="Y304" i="13"/>
  <c r="G304" i="13"/>
  <c r="K304" i="13"/>
  <c r="V304" i="13"/>
  <c r="W304" i="13"/>
  <c r="T304" i="13"/>
  <c r="O304" i="13"/>
  <c r="M304" i="13"/>
  <c r="P304" i="13"/>
  <c r="N304" i="13"/>
  <c r="Q304" i="13"/>
  <c r="B303" i="13"/>
  <c r="C303" i="13"/>
  <c r="Z303" i="13"/>
  <c r="E303" i="13"/>
  <c r="Y303" i="13"/>
  <c r="G303" i="13"/>
  <c r="K303" i="13"/>
  <c r="V303" i="13"/>
  <c r="W303" i="13"/>
  <c r="T303" i="13"/>
  <c r="O303" i="13"/>
  <c r="M303" i="13"/>
  <c r="P303" i="13"/>
  <c r="N303" i="13"/>
  <c r="Q303" i="13"/>
  <c r="B302" i="13"/>
  <c r="C302" i="13"/>
  <c r="Z302" i="13"/>
  <c r="E302" i="13"/>
  <c r="Y302" i="13"/>
  <c r="G302" i="13"/>
  <c r="K302" i="13"/>
  <c r="V302" i="13"/>
  <c r="W302" i="13"/>
  <c r="T302" i="13"/>
  <c r="O302" i="13"/>
  <c r="M302" i="13"/>
  <c r="P302" i="13"/>
  <c r="N302" i="13"/>
  <c r="Q302" i="13"/>
  <c r="D301" i="13"/>
  <c r="D300" i="13"/>
  <c r="D299" i="13"/>
  <c r="D298" i="13"/>
  <c r="D297" i="13"/>
  <c r="D296" i="13"/>
  <c r="A296" i="13"/>
  <c r="A297" i="13"/>
  <c r="A298" i="13"/>
  <c r="A299" i="13"/>
  <c r="A300" i="13"/>
  <c r="A301" i="13"/>
  <c r="B301" i="13"/>
  <c r="C301" i="13"/>
  <c r="Z301" i="13"/>
  <c r="E301" i="13"/>
  <c r="Y301" i="13"/>
  <c r="G301" i="13"/>
  <c r="K301" i="13"/>
  <c r="V301" i="13"/>
  <c r="W301" i="13"/>
  <c r="T301" i="13"/>
  <c r="O301" i="13"/>
  <c r="M301" i="13"/>
  <c r="P301" i="13"/>
  <c r="N301" i="13"/>
  <c r="Q301" i="13"/>
  <c r="B300" i="13"/>
  <c r="C300" i="13"/>
  <c r="Z300" i="13"/>
  <c r="E300" i="13"/>
  <c r="Y300" i="13"/>
  <c r="G300" i="13"/>
  <c r="K300" i="13"/>
  <c r="V300" i="13"/>
  <c r="W300" i="13"/>
  <c r="T300" i="13"/>
  <c r="O300" i="13"/>
  <c r="M300" i="13"/>
  <c r="P300" i="13"/>
  <c r="N300" i="13"/>
  <c r="Q300" i="13"/>
  <c r="B299" i="13"/>
  <c r="C299" i="13"/>
  <c r="Z299" i="13"/>
  <c r="E299" i="13"/>
  <c r="Y299" i="13"/>
  <c r="G299" i="13"/>
  <c r="K299" i="13"/>
  <c r="V299" i="13"/>
  <c r="W299" i="13"/>
  <c r="T299" i="13"/>
  <c r="O299" i="13"/>
  <c r="M299" i="13"/>
  <c r="P299" i="13"/>
  <c r="N299" i="13"/>
  <c r="Q299" i="13"/>
  <c r="B298" i="13"/>
  <c r="C298" i="13"/>
  <c r="Z298" i="13"/>
  <c r="E298" i="13"/>
  <c r="Y298" i="13"/>
  <c r="G298" i="13"/>
  <c r="K298" i="13"/>
  <c r="V298" i="13"/>
  <c r="W298" i="13"/>
  <c r="T298" i="13"/>
  <c r="O298" i="13"/>
  <c r="M298" i="13"/>
  <c r="P298" i="13"/>
  <c r="N298" i="13"/>
  <c r="Q298" i="13"/>
  <c r="B297" i="13"/>
  <c r="C297" i="13"/>
  <c r="Z297" i="13"/>
  <c r="E297" i="13"/>
  <c r="Y297" i="13"/>
  <c r="G297" i="13"/>
  <c r="K297" i="13"/>
  <c r="V297" i="13"/>
  <c r="W297" i="13"/>
  <c r="T297" i="13"/>
  <c r="O297" i="13"/>
  <c r="M297" i="13"/>
  <c r="P297" i="13"/>
  <c r="N297" i="13"/>
  <c r="Q297" i="13"/>
  <c r="B296" i="13"/>
  <c r="C296" i="13"/>
  <c r="Z296" i="13"/>
  <c r="E296" i="13"/>
  <c r="Y296" i="13"/>
  <c r="G296" i="13"/>
  <c r="K296" i="13"/>
  <c r="V296" i="13"/>
  <c r="W296" i="13"/>
  <c r="T296" i="13"/>
  <c r="O296" i="13"/>
  <c r="M296" i="13"/>
  <c r="P296" i="13"/>
  <c r="N296" i="13"/>
  <c r="Q296" i="13"/>
  <c r="D295" i="13"/>
  <c r="D294" i="13"/>
  <c r="D293" i="13"/>
  <c r="D292" i="13"/>
  <c r="D291" i="13"/>
  <c r="D290" i="13"/>
  <c r="A290" i="13"/>
  <c r="A291" i="13"/>
  <c r="A292" i="13"/>
  <c r="A293" i="13"/>
  <c r="A294" i="13"/>
  <c r="A295" i="13"/>
  <c r="B295" i="13"/>
  <c r="C295" i="13"/>
  <c r="Z295" i="13"/>
  <c r="E295" i="13"/>
  <c r="Y295" i="13"/>
  <c r="G295" i="13"/>
  <c r="K295" i="13"/>
  <c r="V295" i="13"/>
  <c r="W295" i="13"/>
  <c r="T295" i="13"/>
  <c r="O295" i="13"/>
  <c r="M295" i="13"/>
  <c r="P295" i="13"/>
  <c r="N295" i="13"/>
  <c r="Q295" i="13"/>
  <c r="B294" i="13"/>
  <c r="C294" i="13"/>
  <c r="Z294" i="13"/>
  <c r="E294" i="13"/>
  <c r="Y294" i="13"/>
  <c r="G294" i="13"/>
  <c r="K294" i="13"/>
  <c r="V294" i="13"/>
  <c r="W294" i="13"/>
  <c r="T294" i="13"/>
  <c r="O294" i="13"/>
  <c r="M294" i="13"/>
  <c r="P294" i="13"/>
  <c r="N294" i="13"/>
  <c r="Q294" i="13"/>
  <c r="B293" i="13"/>
  <c r="C293" i="13"/>
  <c r="Z293" i="13"/>
  <c r="E293" i="13"/>
  <c r="Y293" i="13"/>
  <c r="G293" i="13"/>
  <c r="K293" i="13"/>
  <c r="V293" i="13"/>
  <c r="W293" i="13"/>
  <c r="T293" i="13"/>
  <c r="O293" i="13"/>
  <c r="M293" i="13"/>
  <c r="P293" i="13"/>
  <c r="N293" i="13"/>
  <c r="Q293" i="13"/>
  <c r="B292" i="13"/>
  <c r="C292" i="13"/>
  <c r="Z292" i="13"/>
  <c r="E292" i="13"/>
  <c r="Y292" i="13"/>
  <c r="G292" i="13"/>
  <c r="K292" i="13"/>
  <c r="V292" i="13"/>
  <c r="W292" i="13"/>
  <c r="T292" i="13"/>
  <c r="O292" i="13"/>
  <c r="M292" i="13"/>
  <c r="P292" i="13"/>
  <c r="N292" i="13"/>
  <c r="Q292" i="13"/>
  <c r="B291" i="13"/>
  <c r="C291" i="13"/>
  <c r="Z291" i="13"/>
  <c r="E291" i="13"/>
  <c r="Y291" i="13"/>
  <c r="G291" i="13"/>
  <c r="K291" i="13"/>
  <c r="V291" i="13"/>
  <c r="W291" i="13"/>
  <c r="T291" i="13"/>
  <c r="O291" i="13"/>
  <c r="M291" i="13"/>
  <c r="P291" i="13"/>
  <c r="N291" i="13"/>
  <c r="Q291" i="13"/>
  <c r="B290" i="13"/>
  <c r="C290" i="13"/>
  <c r="Z290" i="13"/>
  <c r="E290" i="13"/>
  <c r="Y290" i="13"/>
  <c r="G290" i="13"/>
  <c r="K290" i="13"/>
  <c r="V290" i="13"/>
  <c r="W290" i="13"/>
  <c r="T290" i="13"/>
  <c r="O290" i="13"/>
  <c r="M290" i="13"/>
  <c r="P290" i="13"/>
  <c r="N290" i="13"/>
  <c r="Q290" i="13"/>
  <c r="D289" i="13"/>
  <c r="D288" i="13"/>
  <c r="D287" i="13"/>
  <c r="D286" i="13"/>
  <c r="D285" i="13"/>
  <c r="D284" i="13"/>
  <c r="A284" i="13"/>
  <c r="A285" i="13"/>
  <c r="A286" i="13"/>
  <c r="A287" i="13"/>
  <c r="A288" i="13"/>
  <c r="A289" i="13"/>
  <c r="B289" i="13"/>
  <c r="C289" i="13"/>
  <c r="Z289" i="13"/>
  <c r="E289" i="13"/>
  <c r="Y289" i="13"/>
  <c r="G289" i="13"/>
  <c r="K289" i="13"/>
  <c r="V289" i="13"/>
  <c r="W289" i="13"/>
  <c r="T289" i="13"/>
  <c r="O289" i="13"/>
  <c r="M289" i="13"/>
  <c r="P289" i="13"/>
  <c r="N289" i="13"/>
  <c r="Q289" i="13"/>
  <c r="B288" i="13"/>
  <c r="C288" i="13"/>
  <c r="Z288" i="13"/>
  <c r="E288" i="13"/>
  <c r="Y288" i="13"/>
  <c r="G288" i="13"/>
  <c r="K288" i="13"/>
  <c r="V288" i="13"/>
  <c r="W288" i="13"/>
  <c r="T288" i="13"/>
  <c r="O288" i="13"/>
  <c r="M288" i="13"/>
  <c r="P288" i="13"/>
  <c r="N288" i="13"/>
  <c r="Q288" i="13"/>
  <c r="B287" i="13"/>
  <c r="C287" i="13"/>
  <c r="Z287" i="13"/>
  <c r="E287" i="13"/>
  <c r="Y287" i="13"/>
  <c r="G287" i="13"/>
  <c r="K287" i="13"/>
  <c r="V287" i="13"/>
  <c r="W287" i="13"/>
  <c r="T287" i="13"/>
  <c r="O287" i="13"/>
  <c r="M287" i="13"/>
  <c r="P287" i="13"/>
  <c r="N287" i="13"/>
  <c r="Q287" i="13"/>
  <c r="B286" i="13"/>
  <c r="C286" i="13"/>
  <c r="Z286" i="13"/>
  <c r="E286" i="13"/>
  <c r="Y286" i="13"/>
  <c r="G286" i="13"/>
  <c r="K286" i="13"/>
  <c r="V286" i="13"/>
  <c r="W286" i="13"/>
  <c r="T286" i="13"/>
  <c r="O286" i="13"/>
  <c r="M286" i="13"/>
  <c r="P286" i="13"/>
  <c r="N286" i="13"/>
  <c r="Q286" i="13"/>
  <c r="B285" i="13"/>
  <c r="C285" i="13"/>
  <c r="Z285" i="13"/>
  <c r="E285" i="13"/>
  <c r="Y285" i="13"/>
  <c r="G285" i="13"/>
  <c r="K285" i="13"/>
  <c r="V285" i="13"/>
  <c r="W285" i="13"/>
  <c r="T285" i="13"/>
  <c r="O285" i="13"/>
  <c r="M285" i="13"/>
  <c r="P285" i="13"/>
  <c r="N285" i="13"/>
  <c r="Q285" i="13"/>
  <c r="B284" i="13"/>
  <c r="C284" i="13"/>
  <c r="Z284" i="13"/>
  <c r="E284" i="13"/>
  <c r="Y284" i="13"/>
  <c r="G284" i="13"/>
  <c r="K284" i="13"/>
  <c r="V284" i="13"/>
  <c r="W284" i="13"/>
  <c r="T284" i="13"/>
  <c r="O284" i="13"/>
  <c r="M284" i="13"/>
  <c r="P284" i="13"/>
  <c r="N284" i="13"/>
  <c r="Q284" i="13"/>
  <c r="D283" i="13"/>
  <c r="D282" i="13"/>
  <c r="D281" i="13"/>
  <c r="D280" i="13"/>
  <c r="D279" i="13"/>
  <c r="D278" i="13"/>
  <c r="A278" i="13"/>
  <c r="A279" i="13"/>
  <c r="A280" i="13"/>
  <c r="A281" i="13"/>
  <c r="A282" i="13"/>
  <c r="A283" i="13"/>
  <c r="B283" i="13"/>
  <c r="C283" i="13"/>
  <c r="Z283" i="13"/>
  <c r="E283" i="13"/>
  <c r="Y283" i="13"/>
  <c r="G283" i="13"/>
  <c r="K283" i="13"/>
  <c r="V283" i="13"/>
  <c r="W283" i="13"/>
  <c r="T283" i="13"/>
  <c r="O283" i="13"/>
  <c r="M283" i="13"/>
  <c r="P283" i="13"/>
  <c r="N283" i="13"/>
  <c r="Q283" i="13"/>
  <c r="B282" i="13"/>
  <c r="C282" i="13"/>
  <c r="Z282" i="13"/>
  <c r="E282" i="13"/>
  <c r="Y282" i="13"/>
  <c r="G282" i="13"/>
  <c r="K282" i="13"/>
  <c r="V282" i="13"/>
  <c r="W282" i="13"/>
  <c r="T282" i="13"/>
  <c r="O282" i="13"/>
  <c r="M282" i="13"/>
  <c r="P282" i="13"/>
  <c r="N282" i="13"/>
  <c r="Q282" i="13"/>
  <c r="B281" i="13"/>
  <c r="C281" i="13"/>
  <c r="Z281" i="13"/>
  <c r="E281" i="13"/>
  <c r="Y281" i="13"/>
  <c r="G281" i="13"/>
  <c r="K281" i="13"/>
  <c r="V281" i="13"/>
  <c r="W281" i="13"/>
  <c r="T281" i="13"/>
  <c r="O281" i="13"/>
  <c r="M281" i="13"/>
  <c r="P281" i="13"/>
  <c r="N281" i="13"/>
  <c r="Q281" i="13"/>
  <c r="B280" i="13"/>
  <c r="C280" i="13"/>
  <c r="Z280" i="13"/>
  <c r="E280" i="13"/>
  <c r="Y280" i="13"/>
  <c r="G280" i="13"/>
  <c r="K280" i="13"/>
  <c r="V280" i="13"/>
  <c r="W280" i="13"/>
  <c r="T280" i="13"/>
  <c r="O280" i="13"/>
  <c r="M280" i="13"/>
  <c r="P280" i="13"/>
  <c r="N280" i="13"/>
  <c r="Q280" i="13"/>
  <c r="B279" i="13"/>
  <c r="C279" i="13"/>
  <c r="Z279" i="13"/>
  <c r="E279" i="13"/>
  <c r="Y279" i="13"/>
  <c r="G279" i="13"/>
  <c r="K279" i="13"/>
  <c r="V279" i="13"/>
  <c r="W279" i="13"/>
  <c r="T279" i="13"/>
  <c r="O279" i="13"/>
  <c r="M279" i="13"/>
  <c r="P279" i="13"/>
  <c r="N279" i="13"/>
  <c r="Q279" i="13"/>
  <c r="B278" i="13"/>
  <c r="C278" i="13"/>
  <c r="Z278" i="13"/>
  <c r="E278" i="13"/>
  <c r="Y278" i="13"/>
  <c r="G278" i="13"/>
  <c r="K278" i="13"/>
  <c r="V278" i="13"/>
  <c r="W278" i="13"/>
  <c r="T278" i="13"/>
  <c r="O278" i="13"/>
  <c r="M278" i="13"/>
  <c r="P278" i="13"/>
  <c r="N278" i="13"/>
  <c r="Q278" i="13"/>
  <c r="D277" i="13"/>
  <c r="D276" i="13"/>
  <c r="D275" i="13"/>
  <c r="D274" i="13"/>
  <c r="D273" i="13"/>
  <c r="D272" i="13"/>
  <c r="A272" i="13"/>
  <c r="A273" i="13"/>
  <c r="A274" i="13"/>
  <c r="A275" i="13"/>
  <c r="A276" i="13"/>
  <c r="A277" i="13"/>
  <c r="B277" i="13"/>
  <c r="C277" i="13"/>
  <c r="Z277" i="13"/>
  <c r="E277" i="13"/>
  <c r="Y277" i="13"/>
  <c r="G277" i="13"/>
  <c r="K277" i="13"/>
  <c r="V277" i="13"/>
  <c r="W277" i="13"/>
  <c r="T277" i="13"/>
  <c r="O277" i="13"/>
  <c r="M277" i="13"/>
  <c r="P277" i="13"/>
  <c r="N277" i="13"/>
  <c r="Q277" i="13"/>
  <c r="B276" i="13"/>
  <c r="C276" i="13"/>
  <c r="Z276" i="13"/>
  <c r="E276" i="13"/>
  <c r="Y276" i="13"/>
  <c r="G276" i="13"/>
  <c r="K276" i="13"/>
  <c r="V276" i="13"/>
  <c r="W276" i="13"/>
  <c r="T276" i="13"/>
  <c r="O276" i="13"/>
  <c r="M276" i="13"/>
  <c r="P276" i="13"/>
  <c r="N276" i="13"/>
  <c r="Q276" i="13"/>
  <c r="B275" i="13"/>
  <c r="C275" i="13"/>
  <c r="Z275" i="13"/>
  <c r="E275" i="13"/>
  <c r="Y275" i="13"/>
  <c r="G275" i="13"/>
  <c r="K275" i="13"/>
  <c r="V275" i="13"/>
  <c r="W275" i="13"/>
  <c r="T275" i="13"/>
  <c r="O275" i="13"/>
  <c r="M275" i="13"/>
  <c r="P275" i="13"/>
  <c r="N275" i="13"/>
  <c r="Q275" i="13"/>
  <c r="B274" i="13"/>
  <c r="C274" i="13"/>
  <c r="Z274" i="13"/>
  <c r="E274" i="13"/>
  <c r="Y274" i="13"/>
  <c r="G274" i="13"/>
  <c r="K274" i="13"/>
  <c r="V274" i="13"/>
  <c r="W274" i="13"/>
  <c r="T274" i="13"/>
  <c r="O274" i="13"/>
  <c r="M274" i="13"/>
  <c r="P274" i="13"/>
  <c r="N274" i="13"/>
  <c r="Q274" i="13"/>
  <c r="B273" i="13"/>
  <c r="C273" i="13"/>
  <c r="Z273" i="13"/>
  <c r="E273" i="13"/>
  <c r="Y273" i="13"/>
  <c r="G273" i="13"/>
  <c r="K273" i="13"/>
  <c r="V273" i="13"/>
  <c r="W273" i="13"/>
  <c r="T273" i="13"/>
  <c r="O273" i="13"/>
  <c r="M273" i="13"/>
  <c r="P273" i="13"/>
  <c r="N273" i="13"/>
  <c r="Q273" i="13"/>
  <c r="B272" i="13"/>
  <c r="C272" i="13"/>
  <c r="Z272" i="13"/>
  <c r="E272" i="13"/>
  <c r="Y272" i="13"/>
  <c r="G272" i="13"/>
  <c r="K272" i="13"/>
  <c r="V272" i="13"/>
  <c r="W272" i="13"/>
  <c r="T272" i="13"/>
  <c r="O272" i="13"/>
  <c r="M272" i="13"/>
  <c r="P272" i="13"/>
  <c r="N272" i="13"/>
  <c r="Q272" i="13"/>
  <c r="D271" i="13"/>
  <c r="D270" i="13"/>
  <c r="D269" i="13"/>
  <c r="D268" i="13"/>
  <c r="D267" i="13"/>
  <c r="D266" i="13"/>
  <c r="A266" i="13"/>
  <c r="A267" i="13"/>
  <c r="A268" i="13"/>
  <c r="A269" i="13"/>
  <c r="A270" i="13"/>
  <c r="A271" i="13"/>
  <c r="B271" i="13"/>
  <c r="C271" i="13"/>
  <c r="Z271" i="13"/>
  <c r="E271" i="13"/>
  <c r="Y271" i="13"/>
  <c r="G271" i="13"/>
  <c r="K271" i="13"/>
  <c r="V271" i="13"/>
  <c r="W271" i="13"/>
  <c r="T271" i="13"/>
  <c r="O271" i="13"/>
  <c r="M271" i="13"/>
  <c r="P271" i="13"/>
  <c r="N271" i="13"/>
  <c r="Q271" i="13"/>
  <c r="B270" i="13"/>
  <c r="C270" i="13"/>
  <c r="Z270" i="13"/>
  <c r="E270" i="13"/>
  <c r="Y270" i="13"/>
  <c r="G270" i="13"/>
  <c r="K270" i="13"/>
  <c r="V270" i="13"/>
  <c r="W270" i="13"/>
  <c r="T270" i="13"/>
  <c r="O270" i="13"/>
  <c r="M270" i="13"/>
  <c r="P270" i="13"/>
  <c r="N270" i="13"/>
  <c r="Q270" i="13"/>
  <c r="B269" i="13"/>
  <c r="C269" i="13"/>
  <c r="Z269" i="13"/>
  <c r="E269" i="13"/>
  <c r="Y269" i="13"/>
  <c r="G269" i="13"/>
  <c r="K269" i="13"/>
  <c r="V269" i="13"/>
  <c r="W269" i="13"/>
  <c r="T269" i="13"/>
  <c r="O269" i="13"/>
  <c r="M269" i="13"/>
  <c r="P269" i="13"/>
  <c r="N269" i="13"/>
  <c r="Q269" i="13"/>
  <c r="B268" i="13"/>
  <c r="C268" i="13"/>
  <c r="Z268" i="13"/>
  <c r="E268" i="13"/>
  <c r="Y268" i="13"/>
  <c r="G268" i="13"/>
  <c r="K268" i="13"/>
  <c r="V268" i="13"/>
  <c r="W268" i="13"/>
  <c r="T268" i="13"/>
  <c r="O268" i="13"/>
  <c r="M268" i="13"/>
  <c r="P268" i="13"/>
  <c r="N268" i="13"/>
  <c r="Q268" i="13"/>
  <c r="B267" i="13"/>
  <c r="C267" i="13"/>
  <c r="Z267" i="13"/>
  <c r="E267" i="13"/>
  <c r="Y267" i="13"/>
  <c r="G267" i="13"/>
  <c r="K267" i="13"/>
  <c r="V267" i="13"/>
  <c r="W267" i="13"/>
  <c r="T267" i="13"/>
  <c r="O267" i="13"/>
  <c r="M267" i="13"/>
  <c r="P267" i="13"/>
  <c r="N267" i="13"/>
  <c r="Q267" i="13"/>
  <c r="B266" i="13"/>
  <c r="C266" i="13"/>
  <c r="Z266" i="13"/>
  <c r="E266" i="13"/>
  <c r="Y266" i="13"/>
  <c r="G266" i="13"/>
  <c r="K266" i="13"/>
  <c r="V266" i="13"/>
  <c r="W266" i="13"/>
  <c r="T266" i="13"/>
  <c r="O266" i="13"/>
  <c r="M266" i="13"/>
  <c r="P266" i="13"/>
  <c r="N266" i="13"/>
  <c r="Q266" i="13"/>
  <c r="D265" i="13"/>
  <c r="D264" i="13"/>
  <c r="D263" i="13"/>
  <c r="D262" i="13"/>
  <c r="D261" i="13"/>
  <c r="D260" i="13"/>
  <c r="A260" i="13"/>
  <c r="A261" i="13"/>
  <c r="A262" i="13"/>
  <c r="A263" i="13"/>
  <c r="A264" i="13"/>
  <c r="A265" i="13"/>
  <c r="B265" i="13"/>
  <c r="C265" i="13"/>
  <c r="Z265" i="13"/>
  <c r="E265" i="13"/>
  <c r="Y265" i="13"/>
  <c r="G265" i="13"/>
  <c r="K265" i="13"/>
  <c r="V265" i="13"/>
  <c r="W265" i="13"/>
  <c r="T265" i="13"/>
  <c r="O265" i="13"/>
  <c r="M265" i="13"/>
  <c r="P265" i="13"/>
  <c r="N265" i="13"/>
  <c r="Q265" i="13"/>
  <c r="B264" i="13"/>
  <c r="C264" i="13"/>
  <c r="Z264" i="13"/>
  <c r="E264" i="13"/>
  <c r="Y264" i="13"/>
  <c r="G264" i="13"/>
  <c r="K264" i="13"/>
  <c r="V264" i="13"/>
  <c r="W264" i="13"/>
  <c r="T264" i="13"/>
  <c r="O264" i="13"/>
  <c r="M264" i="13"/>
  <c r="P264" i="13"/>
  <c r="N264" i="13"/>
  <c r="Q264" i="13"/>
  <c r="B263" i="13"/>
  <c r="C263" i="13"/>
  <c r="Z263" i="13"/>
  <c r="E263" i="13"/>
  <c r="Y263" i="13"/>
  <c r="G263" i="13"/>
  <c r="K263" i="13"/>
  <c r="V263" i="13"/>
  <c r="W263" i="13"/>
  <c r="T263" i="13"/>
  <c r="O263" i="13"/>
  <c r="M263" i="13"/>
  <c r="P263" i="13"/>
  <c r="N263" i="13"/>
  <c r="Q263" i="13"/>
  <c r="B262" i="13"/>
  <c r="C262" i="13"/>
  <c r="Z262" i="13"/>
  <c r="E262" i="13"/>
  <c r="Y262" i="13"/>
  <c r="G262" i="13"/>
  <c r="K262" i="13"/>
  <c r="V262" i="13"/>
  <c r="W262" i="13"/>
  <c r="T262" i="13"/>
  <c r="O262" i="13"/>
  <c r="M262" i="13"/>
  <c r="P262" i="13"/>
  <c r="N262" i="13"/>
  <c r="Q262" i="13"/>
  <c r="B261" i="13"/>
  <c r="C261" i="13"/>
  <c r="Z261" i="13"/>
  <c r="E261" i="13"/>
  <c r="Y261" i="13"/>
  <c r="G261" i="13"/>
  <c r="K261" i="13"/>
  <c r="V261" i="13"/>
  <c r="W261" i="13"/>
  <c r="T261" i="13"/>
  <c r="O261" i="13"/>
  <c r="M261" i="13"/>
  <c r="P261" i="13"/>
  <c r="N261" i="13"/>
  <c r="Q261" i="13"/>
  <c r="B260" i="13"/>
  <c r="C260" i="13"/>
  <c r="Z260" i="13"/>
  <c r="E260" i="13"/>
  <c r="Y260" i="13"/>
  <c r="G260" i="13"/>
  <c r="K260" i="13"/>
  <c r="V260" i="13"/>
  <c r="W260" i="13"/>
  <c r="T260" i="13"/>
  <c r="O260" i="13"/>
  <c r="M260" i="13"/>
  <c r="P260" i="13"/>
  <c r="N260" i="13"/>
  <c r="Q260" i="13"/>
  <c r="D259" i="13"/>
  <c r="D258" i="13"/>
  <c r="D257" i="13"/>
  <c r="D256" i="13"/>
  <c r="D255" i="13"/>
  <c r="D254" i="13"/>
  <c r="A254" i="13"/>
  <c r="A255" i="13"/>
  <c r="A256" i="13"/>
  <c r="A257" i="13"/>
  <c r="A258" i="13"/>
  <c r="A259" i="13"/>
  <c r="B259" i="13"/>
  <c r="C259" i="13"/>
  <c r="Z259" i="13"/>
  <c r="E259" i="13"/>
  <c r="Y259" i="13"/>
  <c r="G259" i="13"/>
  <c r="K259" i="13"/>
  <c r="V259" i="13"/>
  <c r="W259" i="13"/>
  <c r="T259" i="13"/>
  <c r="O259" i="13"/>
  <c r="M259" i="13"/>
  <c r="P259" i="13"/>
  <c r="N259" i="13"/>
  <c r="Q259" i="13"/>
  <c r="B258" i="13"/>
  <c r="C258" i="13"/>
  <c r="Z258" i="13"/>
  <c r="E258" i="13"/>
  <c r="Y258" i="13"/>
  <c r="G258" i="13"/>
  <c r="K258" i="13"/>
  <c r="V258" i="13"/>
  <c r="W258" i="13"/>
  <c r="T258" i="13"/>
  <c r="O258" i="13"/>
  <c r="M258" i="13"/>
  <c r="P258" i="13"/>
  <c r="N258" i="13"/>
  <c r="Q258" i="13"/>
  <c r="B257" i="13"/>
  <c r="C257" i="13"/>
  <c r="Z257" i="13"/>
  <c r="E257" i="13"/>
  <c r="Y257" i="13"/>
  <c r="G257" i="13"/>
  <c r="K257" i="13"/>
  <c r="V257" i="13"/>
  <c r="W257" i="13"/>
  <c r="T257" i="13"/>
  <c r="O257" i="13"/>
  <c r="M257" i="13"/>
  <c r="P257" i="13"/>
  <c r="N257" i="13"/>
  <c r="Q257" i="13"/>
  <c r="B256" i="13"/>
  <c r="C256" i="13"/>
  <c r="Z256" i="13"/>
  <c r="E256" i="13"/>
  <c r="Y256" i="13"/>
  <c r="G256" i="13"/>
  <c r="K256" i="13"/>
  <c r="V256" i="13"/>
  <c r="W256" i="13"/>
  <c r="T256" i="13"/>
  <c r="O256" i="13"/>
  <c r="M256" i="13"/>
  <c r="P256" i="13"/>
  <c r="N256" i="13"/>
  <c r="Q256" i="13"/>
  <c r="B255" i="13"/>
  <c r="C255" i="13"/>
  <c r="Z255" i="13"/>
  <c r="E255" i="13"/>
  <c r="Y255" i="13"/>
  <c r="G255" i="13"/>
  <c r="K255" i="13"/>
  <c r="V255" i="13"/>
  <c r="W255" i="13"/>
  <c r="T255" i="13"/>
  <c r="O255" i="13"/>
  <c r="M255" i="13"/>
  <c r="P255" i="13"/>
  <c r="N255" i="13"/>
  <c r="Q255" i="13"/>
  <c r="B254" i="13"/>
  <c r="C254" i="13"/>
  <c r="Z254" i="13"/>
  <c r="E254" i="13"/>
  <c r="Y254" i="13"/>
  <c r="G254" i="13"/>
  <c r="K254" i="13"/>
  <c r="V254" i="13"/>
  <c r="W254" i="13"/>
  <c r="T254" i="13"/>
  <c r="O254" i="13"/>
  <c r="M254" i="13"/>
  <c r="P254" i="13"/>
  <c r="N254" i="13"/>
  <c r="Q254" i="13"/>
  <c r="D253" i="13"/>
  <c r="D252" i="13"/>
  <c r="D251" i="13"/>
  <c r="D250" i="13"/>
  <c r="D249" i="13"/>
  <c r="D248" i="13"/>
  <c r="A248" i="13"/>
  <c r="A249" i="13"/>
  <c r="A250" i="13"/>
  <c r="A251" i="13"/>
  <c r="A252" i="13"/>
  <c r="A253" i="13"/>
  <c r="B253" i="13"/>
  <c r="C253" i="13"/>
  <c r="Z253" i="13"/>
  <c r="E253" i="13"/>
  <c r="Y253" i="13"/>
  <c r="G253" i="13"/>
  <c r="K253" i="13"/>
  <c r="V253" i="13"/>
  <c r="W253" i="13"/>
  <c r="T253" i="13"/>
  <c r="O253" i="13"/>
  <c r="M253" i="13"/>
  <c r="P253" i="13"/>
  <c r="N253" i="13"/>
  <c r="Q253" i="13"/>
  <c r="B252" i="13"/>
  <c r="C252" i="13"/>
  <c r="Z252" i="13"/>
  <c r="E252" i="13"/>
  <c r="Y252" i="13"/>
  <c r="G252" i="13"/>
  <c r="K252" i="13"/>
  <c r="V252" i="13"/>
  <c r="W252" i="13"/>
  <c r="T252" i="13"/>
  <c r="O252" i="13"/>
  <c r="M252" i="13"/>
  <c r="P252" i="13"/>
  <c r="N252" i="13"/>
  <c r="Q252" i="13"/>
  <c r="B251" i="13"/>
  <c r="C251" i="13"/>
  <c r="Z251" i="13"/>
  <c r="E251" i="13"/>
  <c r="Y251" i="13"/>
  <c r="G251" i="13"/>
  <c r="K251" i="13"/>
  <c r="V251" i="13"/>
  <c r="W251" i="13"/>
  <c r="T251" i="13"/>
  <c r="O251" i="13"/>
  <c r="M251" i="13"/>
  <c r="P251" i="13"/>
  <c r="N251" i="13"/>
  <c r="Q251" i="13"/>
  <c r="B250" i="13"/>
  <c r="C250" i="13"/>
  <c r="Z250" i="13"/>
  <c r="E250" i="13"/>
  <c r="Y250" i="13"/>
  <c r="G250" i="13"/>
  <c r="K250" i="13"/>
  <c r="V250" i="13"/>
  <c r="W250" i="13"/>
  <c r="T250" i="13"/>
  <c r="O250" i="13"/>
  <c r="M250" i="13"/>
  <c r="P250" i="13"/>
  <c r="N250" i="13"/>
  <c r="Q250" i="13"/>
  <c r="B249" i="13"/>
  <c r="C249" i="13"/>
  <c r="Z249" i="13"/>
  <c r="E249" i="13"/>
  <c r="Y249" i="13"/>
  <c r="G249" i="13"/>
  <c r="K249" i="13"/>
  <c r="V249" i="13"/>
  <c r="W249" i="13"/>
  <c r="T249" i="13"/>
  <c r="O249" i="13"/>
  <c r="M249" i="13"/>
  <c r="P249" i="13"/>
  <c r="N249" i="13"/>
  <c r="Q249" i="13"/>
  <c r="B248" i="13"/>
  <c r="C248" i="13"/>
  <c r="Z248" i="13"/>
  <c r="E248" i="13"/>
  <c r="Y248" i="13"/>
  <c r="G248" i="13"/>
  <c r="K248" i="13"/>
  <c r="V248" i="13"/>
  <c r="W248" i="13"/>
  <c r="T248" i="13"/>
  <c r="O248" i="13"/>
  <c r="M248" i="13"/>
  <c r="P248" i="13"/>
  <c r="N248" i="13"/>
  <c r="Q248" i="13"/>
  <c r="D247" i="13"/>
  <c r="D246" i="13"/>
  <c r="D245" i="13"/>
  <c r="D244" i="13"/>
  <c r="D243" i="13"/>
  <c r="D242" i="13"/>
  <c r="A242" i="13"/>
  <c r="A243" i="13"/>
  <c r="A244" i="13"/>
  <c r="A245" i="13"/>
  <c r="A246" i="13"/>
  <c r="A247" i="13"/>
  <c r="B247" i="13"/>
  <c r="C247" i="13"/>
  <c r="Z247" i="13"/>
  <c r="E247" i="13"/>
  <c r="Y247" i="13"/>
  <c r="G247" i="13"/>
  <c r="K247" i="13"/>
  <c r="V247" i="13"/>
  <c r="W247" i="13"/>
  <c r="T247" i="13"/>
  <c r="O247" i="13"/>
  <c r="M247" i="13"/>
  <c r="P247" i="13"/>
  <c r="N247" i="13"/>
  <c r="Q247" i="13"/>
  <c r="B246" i="13"/>
  <c r="C246" i="13"/>
  <c r="Z246" i="13"/>
  <c r="E246" i="13"/>
  <c r="Y246" i="13"/>
  <c r="G246" i="13"/>
  <c r="K246" i="13"/>
  <c r="V246" i="13"/>
  <c r="W246" i="13"/>
  <c r="T246" i="13"/>
  <c r="O246" i="13"/>
  <c r="M246" i="13"/>
  <c r="P246" i="13"/>
  <c r="N246" i="13"/>
  <c r="Q246" i="13"/>
  <c r="B245" i="13"/>
  <c r="C245" i="13"/>
  <c r="Z245" i="13"/>
  <c r="E245" i="13"/>
  <c r="Y245" i="13"/>
  <c r="G245" i="13"/>
  <c r="K245" i="13"/>
  <c r="V245" i="13"/>
  <c r="W245" i="13"/>
  <c r="T245" i="13"/>
  <c r="O245" i="13"/>
  <c r="M245" i="13"/>
  <c r="P245" i="13"/>
  <c r="N245" i="13"/>
  <c r="Q245" i="13"/>
  <c r="B244" i="13"/>
  <c r="C244" i="13"/>
  <c r="Z244" i="13"/>
  <c r="E244" i="13"/>
  <c r="Y244" i="13"/>
  <c r="G244" i="13"/>
  <c r="K244" i="13"/>
  <c r="V244" i="13"/>
  <c r="W244" i="13"/>
  <c r="T244" i="13"/>
  <c r="O244" i="13"/>
  <c r="M244" i="13"/>
  <c r="P244" i="13"/>
  <c r="N244" i="13"/>
  <c r="Q244" i="13"/>
  <c r="B243" i="13"/>
  <c r="C243" i="13"/>
  <c r="Z243" i="13"/>
  <c r="E243" i="13"/>
  <c r="Y243" i="13"/>
  <c r="G243" i="13"/>
  <c r="K243" i="13"/>
  <c r="V243" i="13"/>
  <c r="W243" i="13"/>
  <c r="T243" i="13"/>
  <c r="O243" i="13"/>
  <c r="M243" i="13"/>
  <c r="P243" i="13"/>
  <c r="N243" i="13"/>
  <c r="Q243" i="13"/>
  <c r="B242" i="13"/>
  <c r="C242" i="13"/>
  <c r="Z242" i="13"/>
  <c r="E242" i="13"/>
  <c r="Y242" i="13"/>
  <c r="G242" i="13"/>
  <c r="K242" i="13"/>
  <c r="V242" i="13"/>
  <c r="W242" i="13"/>
  <c r="T242" i="13"/>
  <c r="O242" i="13"/>
  <c r="M242" i="13"/>
  <c r="P242" i="13"/>
  <c r="N242" i="13"/>
  <c r="Q242" i="13"/>
  <c r="D241" i="13"/>
  <c r="D240" i="13"/>
  <c r="D239" i="13"/>
  <c r="D238" i="13"/>
  <c r="D237" i="13"/>
  <c r="D236" i="13"/>
  <c r="A236" i="13"/>
  <c r="A237" i="13"/>
  <c r="A238" i="13"/>
  <c r="A239" i="13"/>
  <c r="A240" i="13"/>
  <c r="A241" i="13"/>
  <c r="B241" i="13"/>
  <c r="C241" i="13"/>
  <c r="Z241" i="13"/>
  <c r="E241" i="13"/>
  <c r="Y241" i="13"/>
  <c r="G241" i="13"/>
  <c r="K241" i="13"/>
  <c r="V241" i="13"/>
  <c r="W241" i="13"/>
  <c r="T241" i="13"/>
  <c r="O241" i="13"/>
  <c r="M241" i="13"/>
  <c r="P241" i="13"/>
  <c r="N241" i="13"/>
  <c r="Q241" i="13"/>
  <c r="B240" i="13"/>
  <c r="C240" i="13"/>
  <c r="Z240" i="13"/>
  <c r="E240" i="13"/>
  <c r="Y240" i="13"/>
  <c r="G240" i="13"/>
  <c r="K240" i="13"/>
  <c r="V240" i="13"/>
  <c r="W240" i="13"/>
  <c r="T240" i="13"/>
  <c r="O240" i="13"/>
  <c r="M240" i="13"/>
  <c r="P240" i="13"/>
  <c r="N240" i="13"/>
  <c r="Q240" i="13"/>
  <c r="B239" i="13"/>
  <c r="C239" i="13"/>
  <c r="Z239" i="13"/>
  <c r="E239" i="13"/>
  <c r="Y239" i="13"/>
  <c r="G239" i="13"/>
  <c r="K239" i="13"/>
  <c r="V239" i="13"/>
  <c r="W239" i="13"/>
  <c r="T239" i="13"/>
  <c r="O239" i="13"/>
  <c r="M239" i="13"/>
  <c r="P239" i="13"/>
  <c r="N239" i="13"/>
  <c r="Q239" i="13"/>
  <c r="B238" i="13"/>
  <c r="C238" i="13"/>
  <c r="Z238" i="13"/>
  <c r="E238" i="13"/>
  <c r="Y238" i="13"/>
  <c r="G238" i="13"/>
  <c r="K238" i="13"/>
  <c r="V238" i="13"/>
  <c r="W238" i="13"/>
  <c r="T238" i="13"/>
  <c r="O238" i="13"/>
  <c r="M238" i="13"/>
  <c r="P238" i="13"/>
  <c r="N238" i="13"/>
  <c r="Q238" i="13"/>
  <c r="B237" i="13"/>
  <c r="C237" i="13"/>
  <c r="Z237" i="13"/>
  <c r="E237" i="13"/>
  <c r="Y237" i="13"/>
  <c r="G237" i="13"/>
  <c r="K237" i="13"/>
  <c r="V237" i="13"/>
  <c r="W237" i="13"/>
  <c r="T237" i="13"/>
  <c r="O237" i="13"/>
  <c r="M237" i="13"/>
  <c r="P237" i="13"/>
  <c r="N237" i="13"/>
  <c r="Q237" i="13"/>
  <c r="B236" i="13"/>
  <c r="C236" i="13"/>
  <c r="Z236" i="13"/>
  <c r="E236" i="13"/>
  <c r="Y236" i="13"/>
  <c r="G236" i="13"/>
  <c r="K236" i="13"/>
  <c r="V236" i="13"/>
  <c r="W236" i="13"/>
  <c r="T236" i="13"/>
  <c r="O236" i="13"/>
  <c r="M236" i="13"/>
  <c r="P236" i="13"/>
  <c r="N236" i="13"/>
  <c r="Q236" i="13"/>
  <c r="D235" i="13"/>
  <c r="D234" i="13"/>
  <c r="D233" i="13"/>
  <c r="D232" i="13"/>
  <c r="D231" i="13"/>
  <c r="D230" i="13"/>
  <c r="A230" i="13"/>
  <c r="A231" i="13"/>
  <c r="A232" i="13"/>
  <c r="A233" i="13"/>
  <c r="A234" i="13"/>
  <c r="A235" i="13"/>
  <c r="B235" i="13"/>
  <c r="C235" i="13"/>
  <c r="Z235" i="13"/>
  <c r="E235" i="13"/>
  <c r="Y235" i="13"/>
  <c r="G235" i="13"/>
  <c r="K235" i="13"/>
  <c r="V235" i="13"/>
  <c r="W235" i="13"/>
  <c r="T235" i="13"/>
  <c r="O235" i="13"/>
  <c r="M235" i="13"/>
  <c r="P235" i="13"/>
  <c r="N235" i="13"/>
  <c r="Q235" i="13"/>
  <c r="B234" i="13"/>
  <c r="C234" i="13"/>
  <c r="Z234" i="13"/>
  <c r="E234" i="13"/>
  <c r="Y234" i="13"/>
  <c r="G234" i="13"/>
  <c r="K234" i="13"/>
  <c r="V234" i="13"/>
  <c r="W234" i="13"/>
  <c r="T234" i="13"/>
  <c r="O234" i="13"/>
  <c r="M234" i="13"/>
  <c r="P234" i="13"/>
  <c r="N234" i="13"/>
  <c r="Q234" i="13"/>
  <c r="B233" i="13"/>
  <c r="C233" i="13"/>
  <c r="Z233" i="13"/>
  <c r="E233" i="13"/>
  <c r="Y233" i="13"/>
  <c r="G233" i="13"/>
  <c r="K233" i="13"/>
  <c r="V233" i="13"/>
  <c r="W233" i="13"/>
  <c r="T233" i="13"/>
  <c r="O233" i="13"/>
  <c r="M233" i="13"/>
  <c r="P233" i="13"/>
  <c r="N233" i="13"/>
  <c r="Q233" i="13"/>
  <c r="B232" i="13"/>
  <c r="C232" i="13"/>
  <c r="Z232" i="13"/>
  <c r="E232" i="13"/>
  <c r="Y232" i="13"/>
  <c r="G232" i="13"/>
  <c r="K232" i="13"/>
  <c r="V232" i="13"/>
  <c r="W232" i="13"/>
  <c r="T232" i="13"/>
  <c r="O232" i="13"/>
  <c r="M232" i="13"/>
  <c r="P232" i="13"/>
  <c r="N232" i="13"/>
  <c r="Q232" i="13"/>
  <c r="B231" i="13"/>
  <c r="C231" i="13"/>
  <c r="Z231" i="13"/>
  <c r="E231" i="13"/>
  <c r="Y231" i="13"/>
  <c r="G231" i="13"/>
  <c r="K231" i="13"/>
  <c r="V231" i="13"/>
  <c r="W231" i="13"/>
  <c r="T231" i="13"/>
  <c r="O231" i="13"/>
  <c r="M231" i="13"/>
  <c r="P231" i="13"/>
  <c r="N231" i="13"/>
  <c r="Q231" i="13"/>
  <c r="B230" i="13"/>
  <c r="C230" i="13"/>
  <c r="Z230" i="13"/>
  <c r="E230" i="13"/>
  <c r="Y230" i="13"/>
  <c r="G230" i="13"/>
  <c r="K230" i="13"/>
  <c r="V230" i="13"/>
  <c r="W230" i="13"/>
  <c r="T230" i="13"/>
  <c r="O230" i="13"/>
  <c r="M230" i="13"/>
  <c r="P230" i="13"/>
  <c r="N230" i="13"/>
  <c r="Q230" i="13"/>
  <c r="D229" i="13"/>
  <c r="D228" i="13"/>
  <c r="D227" i="13"/>
  <c r="D226" i="13"/>
  <c r="D225" i="13"/>
  <c r="D224" i="13"/>
  <c r="A224" i="13"/>
  <c r="A225" i="13"/>
  <c r="A226" i="13"/>
  <c r="A227" i="13"/>
  <c r="A228" i="13"/>
  <c r="A229" i="13"/>
  <c r="B229" i="13"/>
  <c r="C229" i="13"/>
  <c r="Z229" i="13"/>
  <c r="E229" i="13"/>
  <c r="Y229" i="13"/>
  <c r="G229" i="13"/>
  <c r="K229" i="13"/>
  <c r="V229" i="13"/>
  <c r="W229" i="13"/>
  <c r="T229" i="13"/>
  <c r="O229" i="13"/>
  <c r="M229" i="13"/>
  <c r="P229" i="13"/>
  <c r="N229" i="13"/>
  <c r="Q229" i="13"/>
  <c r="B228" i="13"/>
  <c r="C228" i="13"/>
  <c r="Z228" i="13"/>
  <c r="E228" i="13"/>
  <c r="Y228" i="13"/>
  <c r="G228" i="13"/>
  <c r="K228" i="13"/>
  <c r="V228" i="13"/>
  <c r="W228" i="13"/>
  <c r="T228" i="13"/>
  <c r="O228" i="13"/>
  <c r="M228" i="13"/>
  <c r="P228" i="13"/>
  <c r="N228" i="13"/>
  <c r="Q228" i="13"/>
  <c r="B227" i="13"/>
  <c r="C227" i="13"/>
  <c r="Z227" i="13"/>
  <c r="E227" i="13"/>
  <c r="Y227" i="13"/>
  <c r="G227" i="13"/>
  <c r="K227" i="13"/>
  <c r="V227" i="13"/>
  <c r="W227" i="13"/>
  <c r="T227" i="13"/>
  <c r="O227" i="13"/>
  <c r="M227" i="13"/>
  <c r="P227" i="13"/>
  <c r="N227" i="13"/>
  <c r="Q227" i="13"/>
  <c r="B226" i="13"/>
  <c r="C226" i="13"/>
  <c r="Z226" i="13"/>
  <c r="E226" i="13"/>
  <c r="Y226" i="13"/>
  <c r="G226" i="13"/>
  <c r="K226" i="13"/>
  <c r="V226" i="13"/>
  <c r="W226" i="13"/>
  <c r="T226" i="13"/>
  <c r="O226" i="13"/>
  <c r="M226" i="13"/>
  <c r="P226" i="13"/>
  <c r="N226" i="13"/>
  <c r="Q226" i="13"/>
  <c r="B225" i="13"/>
  <c r="C225" i="13"/>
  <c r="Z225" i="13"/>
  <c r="E225" i="13"/>
  <c r="Y225" i="13"/>
  <c r="G225" i="13"/>
  <c r="K225" i="13"/>
  <c r="V225" i="13"/>
  <c r="W225" i="13"/>
  <c r="T225" i="13"/>
  <c r="O225" i="13"/>
  <c r="M225" i="13"/>
  <c r="P225" i="13"/>
  <c r="N225" i="13"/>
  <c r="Q225" i="13"/>
  <c r="B224" i="13"/>
  <c r="C224" i="13"/>
  <c r="Z224" i="13"/>
  <c r="E224" i="13"/>
  <c r="Y224" i="13"/>
  <c r="G224" i="13"/>
  <c r="K224" i="13"/>
  <c r="V224" i="13"/>
  <c r="W224" i="13"/>
  <c r="T224" i="13"/>
  <c r="O224" i="13"/>
  <c r="M224" i="13"/>
  <c r="P224" i="13"/>
  <c r="N224" i="13"/>
  <c r="Q224" i="13"/>
  <c r="D223" i="13"/>
  <c r="D222" i="13"/>
  <c r="D221" i="13"/>
  <c r="D220" i="13"/>
  <c r="D219" i="13"/>
  <c r="D218" i="13"/>
  <c r="A218" i="13"/>
  <c r="A219" i="13"/>
  <c r="A220" i="13"/>
  <c r="A221" i="13"/>
  <c r="A222" i="13"/>
  <c r="A223" i="13"/>
  <c r="B223" i="13"/>
  <c r="C223" i="13"/>
  <c r="Z223" i="13"/>
  <c r="E223" i="13"/>
  <c r="Y223" i="13"/>
  <c r="G223" i="13"/>
  <c r="K223" i="13"/>
  <c r="V223" i="13"/>
  <c r="W223" i="13"/>
  <c r="T223" i="13"/>
  <c r="O223" i="13"/>
  <c r="M223" i="13"/>
  <c r="P223" i="13"/>
  <c r="N223" i="13"/>
  <c r="Q223" i="13"/>
  <c r="B222" i="13"/>
  <c r="C222" i="13"/>
  <c r="Z222" i="13"/>
  <c r="E222" i="13"/>
  <c r="Y222" i="13"/>
  <c r="G222" i="13"/>
  <c r="K222" i="13"/>
  <c r="V222" i="13"/>
  <c r="W222" i="13"/>
  <c r="T222" i="13"/>
  <c r="O222" i="13"/>
  <c r="M222" i="13"/>
  <c r="P222" i="13"/>
  <c r="N222" i="13"/>
  <c r="Q222" i="13"/>
  <c r="B221" i="13"/>
  <c r="C221" i="13"/>
  <c r="Z221" i="13"/>
  <c r="E221" i="13"/>
  <c r="Y221" i="13"/>
  <c r="G221" i="13"/>
  <c r="K221" i="13"/>
  <c r="V221" i="13"/>
  <c r="W221" i="13"/>
  <c r="T221" i="13"/>
  <c r="O221" i="13"/>
  <c r="M221" i="13"/>
  <c r="P221" i="13"/>
  <c r="N221" i="13"/>
  <c r="Q221" i="13"/>
  <c r="B220" i="13"/>
  <c r="C220" i="13"/>
  <c r="Z220" i="13"/>
  <c r="E220" i="13"/>
  <c r="Y220" i="13"/>
  <c r="G220" i="13"/>
  <c r="K220" i="13"/>
  <c r="V220" i="13"/>
  <c r="W220" i="13"/>
  <c r="T220" i="13"/>
  <c r="O220" i="13"/>
  <c r="M220" i="13"/>
  <c r="P220" i="13"/>
  <c r="N220" i="13"/>
  <c r="Q220" i="13"/>
  <c r="B219" i="13"/>
  <c r="C219" i="13"/>
  <c r="Z219" i="13"/>
  <c r="E219" i="13"/>
  <c r="Y219" i="13"/>
  <c r="G219" i="13"/>
  <c r="K219" i="13"/>
  <c r="V219" i="13"/>
  <c r="W219" i="13"/>
  <c r="T219" i="13"/>
  <c r="O219" i="13"/>
  <c r="M219" i="13"/>
  <c r="P219" i="13"/>
  <c r="N219" i="13"/>
  <c r="Q219" i="13"/>
  <c r="B218" i="13"/>
  <c r="C218" i="13"/>
  <c r="Z218" i="13"/>
  <c r="E218" i="13"/>
  <c r="Y218" i="13"/>
  <c r="G218" i="13"/>
  <c r="K218" i="13"/>
  <c r="V218" i="13"/>
  <c r="W218" i="13"/>
  <c r="T218" i="13"/>
  <c r="O218" i="13"/>
  <c r="M218" i="13"/>
  <c r="P218" i="13"/>
  <c r="N218" i="13"/>
  <c r="Q218" i="13"/>
  <c r="D217" i="13"/>
  <c r="D216" i="13"/>
  <c r="D215" i="13"/>
  <c r="D214" i="13"/>
  <c r="D213" i="13"/>
  <c r="D212" i="13"/>
  <c r="A212" i="13"/>
  <c r="A213" i="13"/>
  <c r="A214" i="13"/>
  <c r="A215" i="13"/>
  <c r="A216" i="13"/>
  <c r="A217" i="13"/>
  <c r="B217" i="13"/>
  <c r="C217" i="13"/>
  <c r="Z217" i="13"/>
  <c r="E217" i="13"/>
  <c r="Y217" i="13"/>
  <c r="G217" i="13"/>
  <c r="K217" i="13"/>
  <c r="V217" i="13"/>
  <c r="W217" i="13"/>
  <c r="T217" i="13"/>
  <c r="O217" i="13"/>
  <c r="M217" i="13"/>
  <c r="P217" i="13"/>
  <c r="N217" i="13"/>
  <c r="Q217" i="13"/>
  <c r="B216" i="13"/>
  <c r="C216" i="13"/>
  <c r="Z216" i="13"/>
  <c r="E216" i="13"/>
  <c r="Y216" i="13"/>
  <c r="G216" i="13"/>
  <c r="K216" i="13"/>
  <c r="V216" i="13"/>
  <c r="W216" i="13"/>
  <c r="T216" i="13"/>
  <c r="O216" i="13"/>
  <c r="M216" i="13"/>
  <c r="P216" i="13"/>
  <c r="N216" i="13"/>
  <c r="Q216" i="13"/>
  <c r="B215" i="13"/>
  <c r="C215" i="13"/>
  <c r="Z215" i="13"/>
  <c r="E215" i="13"/>
  <c r="Y215" i="13"/>
  <c r="G215" i="13"/>
  <c r="K215" i="13"/>
  <c r="V215" i="13"/>
  <c r="W215" i="13"/>
  <c r="T215" i="13"/>
  <c r="O215" i="13"/>
  <c r="M215" i="13"/>
  <c r="P215" i="13"/>
  <c r="N215" i="13"/>
  <c r="Q215" i="13"/>
  <c r="B214" i="13"/>
  <c r="C214" i="13"/>
  <c r="Z214" i="13"/>
  <c r="E214" i="13"/>
  <c r="Y214" i="13"/>
  <c r="G214" i="13"/>
  <c r="K214" i="13"/>
  <c r="V214" i="13"/>
  <c r="W214" i="13"/>
  <c r="T214" i="13"/>
  <c r="O214" i="13"/>
  <c r="M214" i="13"/>
  <c r="P214" i="13"/>
  <c r="N214" i="13"/>
  <c r="Q214" i="13"/>
  <c r="B213" i="13"/>
  <c r="C213" i="13"/>
  <c r="Z213" i="13"/>
  <c r="E213" i="13"/>
  <c r="Y213" i="13"/>
  <c r="G213" i="13"/>
  <c r="K213" i="13"/>
  <c r="V213" i="13"/>
  <c r="W213" i="13"/>
  <c r="T213" i="13"/>
  <c r="O213" i="13"/>
  <c r="M213" i="13"/>
  <c r="P213" i="13"/>
  <c r="N213" i="13"/>
  <c r="Q213" i="13"/>
  <c r="B212" i="13"/>
  <c r="C212" i="13"/>
  <c r="Z212" i="13"/>
  <c r="E212" i="13"/>
  <c r="Y212" i="13"/>
  <c r="G212" i="13"/>
  <c r="K212" i="13"/>
  <c r="V212" i="13"/>
  <c r="W212" i="13"/>
  <c r="T212" i="13"/>
  <c r="O212" i="13"/>
  <c r="M212" i="13"/>
  <c r="P212" i="13"/>
  <c r="N212" i="13"/>
  <c r="Q212" i="13"/>
  <c r="D211" i="13"/>
  <c r="D210" i="13"/>
  <c r="D209" i="13"/>
  <c r="D208" i="13"/>
  <c r="D207" i="13"/>
  <c r="D206" i="13"/>
  <c r="A206" i="13"/>
  <c r="A207" i="13"/>
  <c r="A208" i="13"/>
  <c r="A209" i="13"/>
  <c r="A210" i="13"/>
  <c r="A211" i="13"/>
  <c r="B211" i="13"/>
  <c r="C211" i="13"/>
  <c r="Z211" i="13"/>
  <c r="E211" i="13"/>
  <c r="Y211" i="13"/>
  <c r="G211" i="13"/>
  <c r="K211" i="13"/>
  <c r="V211" i="13"/>
  <c r="W211" i="13"/>
  <c r="T211" i="13"/>
  <c r="O211" i="13"/>
  <c r="M211" i="13"/>
  <c r="P211" i="13"/>
  <c r="N211" i="13"/>
  <c r="Q211" i="13"/>
  <c r="B210" i="13"/>
  <c r="C210" i="13"/>
  <c r="Z210" i="13"/>
  <c r="E210" i="13"/>
  <c r="Y210" i="13"/>
  <c r="G210" i="13"/>
  <c r="K210" i="13"/>
  <c r="V210" i="13"/>
  <c r="W210" i="13"/>
  <c r="T210" i="13"/>
  <c r="O210" i="13"/>
  <c r="M210" i="13"/>
  <c r="P210" i="13"/>
  <c r="N210" i="13"/>
  <c r="Q210" i="13"/>
  <c r="B209" i="13"/>
  <c r="C209" i="13"/>
  <c r="Z209" i="13"/>
  <c r="E209" i="13"/>
  <c r="Y209" i="13"/>
  <c r="G209" i="13"/>
  <c r="K209" i="13"/>
  <c r="V209" i="13"/>
  <c r="W209" i="13"/>
  <c r="T209" i="13"/>
  <c r="O209" i="13"/>
  <c r="M209" i="13"/>
  <c r="P209" i="13"/>
  <c r="N209" i="13"/>
  <c r="Q209" i="13"/>
  <c r="B208" i="13"/>
  <c r="C208" i="13"/>
  <c r="Z208" i="13"/>
  <c r="E208" i="13"/>
  <c r="Y208" i="13"/>
  <c r="G208" i="13"/>
  <c r="K208" i="13"/>
  <c r="V208" i="13"/>
  <c r="W208" i="13"/>
  <c r="T208" i="13"/>
  <c r="O208" i="13"/>
  <c r="M208" i="13"/>
  <c r="P208" i="13"/>
  <c r="N208" i="13"/>
  <c r="Q208" i="13"/>
  <c r="B207" i="13"/>
  <c r="C207" i="13"/>
  <c r="Z207" i="13"/>
  <c r="E207" i="13"/>
  <c r="Y207" i="13"/>
  <c r="G207" i="13"/>
  <c r="K207" i="13"/>
  <c r="V207" i="13"/>
  <c r="W207" i="13"/>
  <c r="T207" i="13"/>
  <c r="O207" i="13"/>
  <c r="M207" i="13"/>
  <c r="P207" i="13"/>
  <c r="N207" i="13"/>
  <c r="Q207" i="13"/>
  <c r="B206" i="13"/>
  <c r="C206" i="13"/>
  <c r="Z206" i="13"/>
  <c r="E206" i="13"/>
  <c r="Y206" i="13"/>
  <c r="G206" i="13"/>
  <c r="K206" i="13"/>
  <c r="V206" i="13"/>
  <c r="W206" i="13"/>
  <c r="T206" i="13"/>
  <c r="O206" i="13"/>
  <c r="M206" i="13"/>
  <c r="P206" i="13"/>
  <c r="N206" i="13"/>
  <c r="Q206" i="13"/>
  <c r="D205" i="13"/>
  <c r="D204" i="13"/>
  <c r="D203" i="13"/>
  <c r="D202" i="13"/>
  <c r="D201" i="13"/>
  <c r="D200" i="13"/>
  <c r="A200" i="13"/>
  <c r="A201" i="13"/>
  <c r="A202" i="13"/>
  <c r="A203" i="13"/>
  <c r="A204" i="13"/>
  <c r="A205" i="13"/>
  <c r="B205" i="13"/>
  <c r="C205" i="13"/>
  <c r="Z205" i="13"/>
  <c r="E205" i="13"/>
  <c r="Y205" i="13"/>
  <c r="G205" i="13"/>
  <c r="K205" i="13"/>
  <c r="V205" i="13"/>
  <c r="W205" i="13"/>
  <c r="T205" i="13"/>
  <c r="O205" i="13"/>
  <c r="M205" i="13"/>
  <c r="P205" i="13"/>
  <c r="N205" i="13"/>
  <c r="Q205" i="13"/>
  <c r="B204" i="13"/>
  <c r="C204" i="13"/>
  <c r="Z204" i="13"/>
  <c r="E204" i="13"/>
  <c r="Y204" i="13"/>
  <c r="G204" i="13"/>
  <c r="K204" i="13"/>
  <c r="V204" i="13"/>
  <c r="W204" i="13"/>
  <c r="T204" i="13"/>
  <c r="O204" i="13"/>
  <c r="M204" i="13"/>
  <c r="P204" i="13"/>
  <c r="N204" i="13"/>
  <c r="Q204" i="13"/>
  <c r="B203" i="13"/>
  <c r="C203" i="13"/>
  <c r="Z203" i="13"/>
  <c r="E203" i="13"/>
  <c r="Y203" i="13"/>
  <c r="G203" i="13"/>
  <c r="K203" i="13"/>
  <c r="V203" i="13"/>
  <c r="W203" i="13"/>
  <c r="T203" i="13"/>
  <c r="O203" i="13"/>
  <c r="M203" i="13"/>
  <c r="P203" i="13"/>
  <c r="N203" i="13"/>
  <c r="Q203" i="13"/>
  <c r="B202" i="13"/>
  <c r="C202" i="13"/>
  <c r="Z202" i="13"/>
  <c r="E202" i="13"/>
  <c r="Y202" i="13"/>
  <c r="G202" i="13"/>
  <c r="K202" i="13"/>
  <c r="V202" i="13"/>
  <c r="W202" i="13"/>
  <c r="T202" i="13"/>
  <c r="O202" i="13"/>
  <c r="M202" i="13"/>
  <c r="P202" i="13"/>
  <c r="N202" i="13"/>
  <c r="Q202" i="13"/>
  <c r="B201" i="13"/>
  <c r="C201" i="13"/>
  <c r="Z201" i="13"/>
  <c r="E201" i="13"/>
  <c r="Y201" i="13"/>
  <c r="G201" i="13"/>
  <c r="K201" i="13"/>
  <c r="V201" i="13"/>
  <c r="W201" i="13"/>
  <c r="T201" i="13"/>
  <c r="O201" i="13"/>
  <c r="M201" i="13"/>
  <c r="P201" i="13"/>
  <c r="N201" i="13"/>
  <c r="Q201" i="13"/>
  <c r="B200" i="13"/>
  <c r="C200" i="13"/>
  <c r="Z200" i="13"/>
  <c r="E200" i="13"/>
  <c r="Y200" i="13"/>
  <c r="G200" i="13"/>
  <c r="K200" i="13"/>
  <c r="V200" i="13"/>
  <c r="W200" i="13"/>
  <c r="T200" i="13"/>
  <c r="O200" i="13"/>
  <c r="M200" i="13"/>
  <c r="P200" i="13"/>
  <c r="N200" i="13"/>
  <c r="Q200" i="13"/>
  <c r="D199" i="13"/>
  <c r="D198" i="13"/>
  <c r="D197" i="13"/>
  <c r="D196" i="13"/>
  <c r="D195" i="13"/>
  <c r="D194" i="13"/>
  <c r="A194" i="13"/>
  <c r="A195" i="13"/>
  <c r="A196" i="13"/>
  <c r="A197" i="13"/>
  <c r="A198" i="13"/>
  <c r="A199" i="13"/>
  <c r="B199" i="13"/>
  <c r="C199" i="13"/>
  <c r="Z199" i="13"/>
  <c r="E199" i="13"/>
  <c r="Y199" i="13"/>
  <c r="G199" i="13"/>
  <c r="K199" i="13"/>
  <c r="V199" i="13"/>
  <c r="W199" i="13"/>
  <c r="T199" i="13"/>
  <c r="O199" i="13"/>
  <c r="M199" i="13"/>
  <c r="P199" i="13"/>
  <c r="N199" i="13"/>
  <c r="Q199" i="13"/>
  <c r="B198" i="13"/>
  <c r="C198" i="13"/>
  <c r="Z198" i="13"/>
  <c r="E198" i="13"/>
  <c r="Y198" i="13"/>
  <c r="G198" i="13"/>
  <c r="K198" i="13"/>
  <c r="V198" i="13"/>
  <c r="W198" i="13"/>
  <c r="T198" i="13"/>
  <c r="O198" i="13"/>
  <c r="M198" i="13"/>
  <c r="P198" i="13"/>
  <c r="N198" i="13"/>
  <c r="Q198" i="13"/>
  <c r="B197" i="13"/>
  <c r="C197" i="13"/>
  <c r="Z197" i="13"/>
  <c r="E197" i="13"/>
  <c r="Y197" i="13"/>
  <c r="G197" i="13"/>
  <c r="K197" i="13"/>
  <c r="V197" i="13"/>
  <c r="W197" i="13"/>
  <c r="T197" i="13"/>
  <c r="O197" i="13"/>
  <c r="M197" i="13"/>
  <c r="P197" i="13"/>
  <c r="N197" i="13"/>
  <c r="Q197" i="13"/>
  <c r="B196" i="13"/>
  <c r="C196" i="13"/>
  <c r="Z196" i="13"/>
  <c r="E196" i="13"/>
  <c r="Y196" i="13"/>
  <c r="G196" i="13"/>
  <c r="K196" i="13"/>
  <c r="V196" i="13"/>
  <c r="W196" i="13"/>
  <c r="T196" i="13"/>
  <c r="O196" i="13"/>
  <c r="M196" i="13"/>
  <c r="P196" i="13"/>
  <c r="N196" i="13"/>
  <c r="Q196" i="13"/>
  <c r="B195" i="13"/>
  <c r="C195" i="13"/>
  <c r="Z195" i="13"/>
  <c r="E195" i="13"/>
  <c r="Y195" i="13"/>
  <c r="G195" i="13"/>
  <c r="K195" i="13"/>
  <c r="V195" i="13"/>
  <c r="W195" i="13"/>
  <c r="T195" i="13"/>
  <c r="O195" i="13"/>
  <c r="M195" i="13"/>
  <c r="P195" i="13"/>
  <c r="N195" i="13"/>
  <c r="Q195" i="13"/>
  <c r="B194" i="13"/>
  <c r="C194" i="13"/>
  <c r="Z194" i="13"/>
  <c r="E194" i="13"/>
  <c r="Y194" i="13"/>
  <c r="G194" i="13"/>
  <c r="K194" i="13"/>
  <c r="V194" i="13"/>
  <c r="W194" i="13"/>
  <c r="T194" i="13"/>
  <c r="O194" i="13"/>
  <c r="M194" i="13"/>
  <c r="P194" i="13"/>
  <c r="N194" i="13"/>
  <c r="Q194" i="13"/>
  <c r="D193" i="13"/>
  <c r="D192" i="13"/>
  <c r="D191" i="13"/>
  <c r="D190" i="13"/>
  <c r="D189" i="13"/>
  <c r="D188" i="13"/>
  <c r="A188" i="13"/>
  <c r="A189" i="13"/>
  <c r="A190" i="13"/>
  <c r="A191" i="13"/>
  <c r="A192" i="13"/>
  <c r="A193" i="13"/>
  <c r="B193" i="13"/>
  <c r="C193" i="13"/>
  <c r="Z193" i="13"/>
  <c r="E193" i="13"/>
  <c r="Y193" i="13"/>
  <c r="G193" i="13"/>
  <c r="K193" i="13"/>
  <c r="V193" i="13"/>
  <c r="W193" i="13"/>
  <c r="T193" i="13"/>
  <c r="O193" i="13"/>
  <c r="M193" i="13"/>
  <c r="P193" i="13"/>
  <c r="N193" i="13"/>
  <c r="Q193" i="13"/>
  <c r="B192" i="13"/>
  <c r="C192" i="13"/>
  <c r="Z192" i="13"/>
  <c r="E192" i="13"/>
  <c r="Y192" i="13"/>
  <c r="G192" i="13"/>
  <c r="K192" i="13"/>
  <c r="V192" i="13"/>
  <c r="W192" i="13"/>
  <c r="T192" i="13"/>
  <c r="O192" i="13"/>
  <c r="M192" i="13"/>
  <c r="P192" i="13"/>
  <c r="N192" i="13"/>
  <c r="Q192" i="13"/>
  <c r="B191" i="13"/>
  <c r="C191" i="13"/>
  <c r="Z191" i="13"/>
  <c r="E191" i="13"/>
  <c r="Y191" i="13"/>
  <c r="G191" i="13"/>
  <c r="K191" i="13"/>
  <c r="V191" i="13"/>
  <c r="W191" i="13"/>
  <c r="T191" i="13"/>
  <c r="O191" i="13"/>
  <c r="M191" i="13"/>
  <c r="P191" i="13"/>
  <c r="N191" i="13"/>
  <c r="Q191" i="13"/>
  <c r="B190" i="13"/>
  <c r="C190" i="13"/>
  <c r="Z190" i="13"/>
  <c r="E190" i="13"/>
  <c r="Y190" i="13"/>
  <c r="G190" i="13"/>
  <c r="K190" i="13"/>
  <c r="V190" i="13"/>
  <c r="W190" i="13"/>
  <c r="T190" i="13"/>
  <c r="O190" i="13"/>
  <c r="M190" i="13"/>
  <c r="P190" i="13"/>
  <c r="N190" i="13"/>
  <c r="Q190" i="13"/>
  <c r="B189" i="13"/>
  <c r="C189" i="13"/>
  <c r="Z189" i="13"/>
  <c r="E189" i="13"/>
  <c r="Y189" i="13"/>
  <c r="G189" i="13"/>
  <c r="K189" i="13"/>
  <c r="V189" i="13"/>
  <c r="W189" i="13"/>
  <c r="T189" i="13"/>
  <c r="O189" i="13"/>
  <c r="M189" i="13"/>
  <c r="P189" i="13"/>
  <c r="N189" i="13"/>
  <c r="Q189" i="13"/>
  <c r="B188" i="13"/>
  <c r="C188" i="13"/>
  <c r="Z188" i="13"/>
  <c r="E188" i="13"/>
  <c r="Y188" i="13"/>
  <c r="G188" i="13"/>
  <c r="K188" i="13"/>
  <c r="V188" i="13"/>
  <c r="W188" i="13"/>
  <c r="T188" i="13"/>
  <c r="O188" i="13"/>
  <c r="M188" i="13"/>
  <c r="P188" i="13"/>
  <c r="N188" i="13"/>
  <c r="Q188" i="13"/>
  <c r="D187" i="13"/>
  <c r="D186" i="13"/>
  <c r="D185" i="13"/>
  <c r="D184" i="13"/>
  <c r="D183" i="13"/>
  <c r="D182" i="13"/>
  <c r="A182" i="13"/>
  <c r="A183" i="13"/>
  <c r="A184" i="13"/>
  <c r="A185" i="13"/>
  <c r="A186" i="13"/>
  <c r="A187" i="13"/>
  <c r="B187" i="13"/>
  <c r="C187" i="13"/>
  <c r="Z187" i="13"/>
  <c r="E187" i="13"/>
  <c r="Y187" i="13"/>
  <c r="G187" i="13"/>
  <c r="K187" i="13"/>
  <c r="V187" i="13"/>
  <c r="W187" i="13"/>
  <c r="T187" i="13"/>
  <c r="O187" i="13"/>
  <c r="M187" i="13"/>
  <c r="P187" i="13"/>
  <c r="N187" i="13"/>
  <c r="Q187" i="13"/>
  <c r="B186" i="13"/>
  <c r="C186" i="13"/>
  <c r="Z186" i="13"/>
  <c r="E186" i="13"/>
  <c r="Y186" i="13"/>
  <c r="G186" i="13"/>
  <c r="K186" i="13"/>
  <c r="V186" i="13"/>
  <c r="W186" i="13"/>
  <c r="T186" i="13"/>
  <c r="O186" i="13"/>
  <c r="M186" i="13"/>
  <c r="P186" i="13"/>
  <c r="N186" i="13"/>
  <c r="Q186" i="13"/>
  <c r="B185" i="13"/>
  <c r="C185" i="13"/>
  <c r="Z185" i="13"/>
  <c r="E185" i="13"/>
  <c r="Y185" i="13"/>
  <c r="G185" i="13"/>
  <c r="K185" i="13"/>
  <c r="V185" i="13"/>
  <c r="W185" i="13"/>
  <c r="T185" i="13"/>
  <c r="O185" i="13"/>
  <c r="M185" i="13"/>
  <c r="P185" i="13"/>
  <c r="N185" i="13"/>
  <c r="Q185" i="13"/>
  <c r="B184" i="13"/>
  <c r="C184" i="13"/>
  <c r="Z184" i="13"/>
  <c r="E184" i="13"/>
  <c r="Y184" i="13"/>
  <c r="G184" i="13"/>
  <c r="K184" i="13"/>
  <c r="V184" i="13"/>
  <c r="W184" i="13"/>
  <c r="T184" i="13"/>
  <c r="O184" i="13"/>
  <c r="M184" i="13"/>
  <c r="P184" i="13"/>
  <c r="N184" i="13"/>
  <c r="Q184" i="13"/>
  <c r="B183" i="13"/>
  <c r="C183" i="13"/>
  <c r="Z183" i="13"/>
  <c r="E183" i="13"/>
  <c r="Y183" i="13"/>
  <c r="G183" i="13"/>
  <c r="K183" i="13"/>
  <c r="V183" i="13"/>
  <c r="W183" i="13"/>
  <c r="T183" i="13"/>
  <c r="O183" i="13"/>
  <c r="M183" i="13"/>
  <c r="P183" i="13"/>
  <c r="N183" i="13"/>
  <c r="Q183" i="13"/>
  <c r="B182" i="13"/>
  <c r="C182" i="13"/>
  <c r="Z182" i="13"/>
  <c r="E182" i="13"/>
  <c r="Y182" i="13"/>
  <c r="G182" i="13"/>
  <c r="K182" i="13"/>
  <c r="V182" i="13"/>
  <c r="W182" i="13"/>
  <c r="T182" i="13"/>
  <c r="O182" i="13"/>
  <c r="M182" i="13"/>
  <c r="P182" i="13"/>
  <c r="N182" i="13"/>
  <c r="Q182" i="13"/>
  <c r="D181" i="13"/>
  <c r="D180" i="13"/>
  <c r="D179" i="13"/>
  <c r="D178" i="13"/>
  <c r="D177" i="13"/>
  <c r="D176" i="13"/>
  <c r="A176" i="13"/>
  <c r="A177" i="13"/>
  <c r="A178" i="13"/>
  <c r="A179" i="13"/>
  <c r="A180" i="13"/>
  <c r="A181" i="13"/>
  <c r="B181" i="13"/>
  <c r="C181" i="13"/>
  <c r="Z181" i="13"/>
  <c r="E181" i="13"/>
  <c r="Y181" i="13"/>
  <c r="G181" i="13"/>
  <c r="K181" i="13"/>
  <c r="V181" i="13"/>
  <c r="W181" i="13"/>
  <c r="T181" i="13"/>
  <c r="O181" i="13"/>
  <c r="M181" i="13"/>
  <c r="P181" i="13"/>
  <c r="N181" i="13"/>
  <c r="Q181" i="13"/>
  <c r="B180" i="13"/>
  <c r="C180" i="13"/>
  <c r="Z180" i="13"/>
  <c r="E180" i="13"/>
  <c r="Y180" i="13"/>
  <c r="G180" i="13"/>
  <c r="K180" i="13"/>
  <c r="V180" i="13"/>
  <c r="W180" i="13"/>
  <c r="T180" i="13"/>
  <c r="O180" i="13"/>
  <c r="M180" i="13"/>
  <c r="P180" i="13"/>
  <c r="N180" i="13"/>
  <c r="Q180" i="13"/>
  <c r="B179" i="13"/>
  <c r="C179" i="13"/>
  <c r="Z179" i="13"/>
  <c r="E179" i="13"/>
  <c r="Y179" i="13"/>
  <c r="G179" i="13"/>
  <c r="K179" i="13"/>
  <c r="V179" i="13"/>
  <c r="W179" i="13"/>
  <c r="T179" i="13"/>
  <c r="O179" i="13"/>
  <c r="M179" i="13"/>
  <c r="P179" i="13"/>
  <c r="N179" i="13"/>
  <c r="Q179" i="13"/>
  <c r="B178" i="13"/>
  <c r="C178" i="13"/>
  <c r="Z178" i="13"/>
  <c r="E178" i="13"/>
  <c r="Y178" i="13"/>
  <c r="G178" i="13"/>
  <c r="K178" i="13"/>
  <c r="V178" i="13"/>
  <c r="W178" i="13"/>
  <c r="T178" i="13"/>
  <c r="O178" i="13"/>
  <c r="M178" i="13"/>
  <c r="P178" i="13"/>
  <c r="N178" i="13"/>
  <c r="Q178" i="13"/>
  <c r="B177" i="13"/>
  <c r="C177" i="13"/>
  <c r="Z177" i="13"/>
  <c r="E177" i="13"/>
  <c r="Y177" i="13"/>
  <c r="G177" i="13"/>
  <c r="K177" i="13"/>
  <c r="V177" i="13"/>
  <c r="W177" i="13"/>
  <c r="T177" i="13"/>
  <c r="O177" i="13"/>
  <c r="M177" i="13"/>
  <c r="P177" i="13"/>
  <c r="N177" i="13"/>
  <c r="Q177" i="13"/>
  <c r="B176" i="13"/>
  <c r="C176" i="13"/>
  <c r="Z176" i="13"/>
  <c r="E176" i="13"/>
  <c r="Y176" i="13"/>
  <c r="G176" i="13"/>
  <c r="K176" i="13"/>
  <c r="V176" i="13"/>
  <c r="W176" i="13"/>
  <c r="T176" i="13"/>
  <c r="O176" i="13"/>
  <c r="M176" i="13"/>
  <c r="P176" i="13"/>
  <c r="N176" i="13"/>
  <c r="Q176" i="13"/>
  <c r="D175" i="13"/>
  <c r="D174" i="13"/>
  <c r="D173" i="13"/>
  <c r="D172" i="13"/>
  <c r="D171" i="13"/>
  <c r="D170" i="13"/>
  <c r="A170" i="13"/>
  <c r="A171" i="13"/>
  <c r="A172" i="13"/>
  <c r="A173" i="13"/>
  <c r="A174" i="13"/>
  <c r="A175" i="13"/>
  <c r="B175" i="13"/>
  <c r="C175" i="13"/>
  <c r="Z175" i="13"/>
  <c r="E175" i="13"/>
  <c r="Y175" i="13"/>
  <c r="G175" i="13"/>
  <c r="K175" i="13"/>
  <c r="V175" i="13"/>
  <c r="W175" i="13"/>
  <c r="T175" i="13"/>
  <c r="O175" i="13"/>
  <c r="M175" i="13"/>
  <c r="P175" i="13"/>
  <c r="N175" i="13"/>
  <c r="Q175" i="13"/>
  <c r="B174" i="13"/>
  <c r="C174" i="13"/>
  <c r="Z174" i="13"/>
  <c r="E174" i="13"/>
  <c r="Y174" i="13"/>
  <c r="G174" i="13"/>
  <c r="K174" i="13"/>
  <c r="V174" i="13"/>
  <c r="W174" i="13"/>
  <c r="T174" i="13"/>
  <c r="O174" i="13"/>
  <c r="M174" i="13"/>
  <c r="P174" i="13"/>
  <c r="N174" i="13"/>
  <c r="Q174" i="13"/>
  <c r="B173" i="13"/>
  <c r="C173" i="13"/>
  <c r="Z173" i="13"/>
  <c r="E173" i="13"/>
  <c r="Y173" i="13"/>
  <c r="G173" i="13"/>
  <c r="K173" i="13"/>
  <c r="V173" i="13"/>
  <c r="W173" i="13"/>
  <c r="T173" i="13"/>
  <c r="O173" i="13"/>
  <c r="M173" i="13"/>
  <c r="P173" i="13"/>
  <c r="N173" i="13"/>
  <c r="Q173" i="13"/>
  <c r="B172" i="13"/>
  <c r="C172" i="13"/>
  <c r="Z172" i="13"/>
  <c r="E172" i="13"/>
  <c r="Y172" i="13"/>
  <c r="G172" i="13"/>
  <c r="K172" i="13"/>
  <c r="V172" i="13"/>
  <c r="W172" i="13"/>
  <c r="T172" i="13"/>
  <c r="O172" i="13"/>
  <c r="M172" i="13"/>
  <c r="P172" i="13"/>
  <c r="N172" i="13"/>
  <c r="Q172" i="13"/>
  <c r="B171" i="13"/>
  <c r="C171" i="13"/>
  <c r="Z171" i="13"/>
  <c r="E171" i="13"/>
  <c r="Y171" i="13"/>
  <c r="G171" i="13"/>
  <c r="K171" i="13"/>
  <c r="V171" i="13"/>
  <c r="W171" i="13"/>
  <c r="T171" i="13"/>
  <c r="O171" i="13"/>
  <c r="M171" i="13"/>
  <c r="P171" i="13"/>
  <c r="N171" i="13"/>
  <c r="Q171" i="13"/>
  <c r="B170" i="13"/>
  <c r="C170" i="13"/>
  <c r="Z170" i="13"/>
  <c r="E170" i="13"/>
  <c r="Y170" i="13"/>
  <c r="G170" i="13"/>
  <c r="K170" i="13"/>
  <c r="V170" i="13"/>
  <c r="W170" i="13"/>
  <c r="T170" i="13"/>
  <c r="O170" i="13"/>
  <c r="M170" i="13"/>
  <c r="P170" i="13"/>
  <c r="N170" i="13"/>
  <c r="Q170" i="13"/>
  <c r="D169" i="13"/>
  <c r="D168" i="13"/>
  <c r="D167" i="13"/>
  <c r="D166" i="13"/>
  <c r="D165" i="13"/>
  <c r="D164" i="13"/>
  <c r="A164" i="13"/>
  <c r="A165" i="13"/>
  <c r="A166" i="13"/>
  <c r="A167" i="13"/>
  <c r="A168" i="13"/>
  <c r="A169" i="13"/>
  <c r="B169" i="13"/>
  <c r="C169" i="13"/>
  <c r="Z169" i="13"/>
  <c r="E169" i="13"/>
  <c r="Y169" i="13"/>
  <c r="G169" i="13"/>
  <c r="K169" i="13"/>
  <c r="V169" i="13"/>
  <c r="W169" i="13"/>
  <c r="T169" i="13"/>
  <c r="O169" i="13"/>
  <c r="M169" i="13"/>
  <c r="P169" i="13"/>
  <c r="N169" i="13"/>
  <c r="Q169" i="13"/>
  <c r="B168" i="13"/>
  <c r="C168" i="13"/>
  <c r="Z168" i="13"/>
  <c r="E168" i="13"/>
  <c r="Y168" i="13"/>
  <c r="G168" i="13"/>
  <c r="K168" i="13"/>
  <c r="V168" i="13"/>
  <c r="W168" i="13"/>
  <c r="T168" i="13"/>
  <c r="O168" i="13"/>
  <c r="M168" i="13"/>
  <c r="P168" i="13"/>
  <c r="N168" i="13"/>
  <c r="Q168" i="13"/>
  <c r="B167" i="13"/>
  <c r="C167" i="13"/>
  <c r="Z167" i="13"/>
  <c r="E167" i="13"/>
  <c r="Y167" i="13"/>
  <c r="G167" i="13"/>
  <c r="K167" i="13"/>
  <c r="V167" i="13"/>
  <c r="W167" i="13"/>
  <c r="T167" i="13"/>
  <c r="O167" i="13"/>
  <c r="M167" i="13"/>
  <c r="P167" i="13"/>
  <c r="N167" i="13"/>
  <c r="Q167" i="13"/>
  <c r="B166" i="13"/>
  <c r="C166" i="13"/>
  <c r="Z166" i="13"/>
  <c r="E166" i="13"/>
  <c r="Y166" i="13"/>
  <c r="G166" i="13"/>
  <c r="K166" i="13"/>
  <c r="V166" i="13"/>
  <c r="W166" i="13"/>
  <c r="T166" i="13"/>
  <c r="O166" i="13"/>
  <c r="M166" i="13"/>
  <c r="P166" i="13"/>
  <c r="N166" i="13"/>
  <c r="Q166" i="13"/>
  <c r="B165" i="13"/>
  <c r="C165" i="13"/>
  <c r="Z165" i="13"/>
  <c r="E165" i="13"/>
  <c r="Y165" i="13"/>
  <c r="G165" i="13"/>
  <c r="K165" i="13"/>
  <c r="V165" i="13"/>
  <c r="W165" i="13"/>
  <c r="T165" i="13"/>
  <c r="O165" i="13"/>
  <c r="M165" i="13"/>
  <c r="P165" i="13"/>
  <c r="N165" i="13"/>
  <c r="Q165" i="13"/>
  <c r="B164" i="13"/>
  <c r="C164" i="13"/>
  <c r="Z164" i="13"/>
  <c r="E164" i="13"/>
  <c r="Y164" i="13"/>
  <c r="G164" i="13"/>
  <c r="K164" i="13"/>
  <c r="V164" i="13"/>
  <c r="W164" i="13"/>
  <c r="T164" i="13"/>
  <c r="O164" i="13"/>
  <c r="M164" i="13"/>
  <c r="P164" i="13"/>
  <c r="N164" i="13"/>
  <c r="Q164" i="13"/>
  <c r="D163" i="13"/>
  <c r="D162" i="13"/>
  <c r="D161" i="13"/>
  <c r="D160" i="13"/>
  <c r="D159" i="13"/>
  <c r="D158" i="13"/>
  <c r="A158" i="13"/>
  <c r="A159" i="13"/>
  <c r="A160" i="13"/>
  <c r="A161" i="13"/>
  <c r="A162" i="13"/>
  <c r="A163" i="13"/>
  <c r="B163" i="13"/>
  <c r="C163" i="13"/>
  <c r="Z163" i="13"/>
  <c r="E163" i="13"/>
  <c r="Y163" i="13"/>
  <c r="G163" i="13"/>
  <c r="K163" i="13"/>
  <c r="V163" i="13"/>
  <c r="W163" i="13"/>
  <c r="T163" i="13"/>
  <c r="O163" i="13"/>
  <c r="M163" i="13"/>
  <c r="P163" i="13"/>
  <c r="N163" i="13"/>
  <c r="Q163" i="13"/>
  <c r="B162" i="13"/>
  <c r="C162" i="13"/>
  <c r="Z162" i="13"/>
  <c r="E162" i="13"/>
  <c r="Y162" i="13"/>
  <c r="G162" i="13"/>
  <c r="K162" i="13"/>
  <c r="V162" i="13"/>
  <c r="W162" i="13"/>
  <c r="T162" i="13"/>
  <c r="O162" i="13"/>
  <c r="M162" i="13"/>
  <c r="P162" i="13"/>
  <c r="N162" i="13"/>
  <c r="Q162" i="13"/>
  <c r="B161" i="13"/>
  <c r="C161" i="13"/>
  <c r="Z161" i="13"/>
  <c r="E161" i="13"/>
  <c r="Y161" i="13"/>
  <c r="G161" i="13"/>
  <c r="K161" i="13"/>
  <c r="V161" i="13"/>
  <c r="W161" i="13"/>
  <c r="T161" i="13"/>
  <c r="O161" i="13"/>
  <c r="M161" i="13"/>
  <c r="P161" i="13"/>
  <c r="N161" i="13"/>
  <c r="Q161" i="13"/>
  <c r="B160" i="13"/>
  <c r="C160" i="13"/>
  <c r="Z160" i="13"/>
  <c r="E160" i="13"/>
  <c r="Y160" i="13"/>
  <c r="G160" i="13"/>
  <c r="K160" i="13"/>
  <c r="V160" i="13"/>
  <c r="W160" i="13"/>
  <c r="T160" i="13"/>
  <c r="O160" i="13"/>
  <c r="M160" i="13"/>
  <c r="P160" i="13"/>
  <c r="N160" i="13"/>
  <c r="Q160" i="13"/>
  <c r="B159" i="13"/>
  <c r="C159" i="13"/>
  <c r="Z159" i="13"/>
  <c r="E159" i="13"/>
  <c r="Y159" i="13"/>
  <c r="G159" i="13"/>
  <c r="K159" i="13"/>
  <c r="V159" i="13"/>
  <c r="W159" i="13"/>
  <c r="T159" i="13"/>
  <c r="O159" i="13"/>
  <c r="M159" i="13"/>
  <c r="P159" i="13"/>
  <c r="N159" i="13"/>
  <c r="Q159" i="13"/>
  <c r="B158" i="13"/>
  <c r="C158" i="13"/>
  <c r="Z158" i="13"/>
  <c r="E158" i="13"/>
  <c r="Y158" i="13"/>
  <c r="G158" i="13"/>
  <c r="K158" i="13"/>
  <c r="V158" i="13"/>
  <c r="W158" i="13"/>
  <c r="T158" i="13"/>
  <c r="O158" i="13"/>
  <c r="M158" i="13"/>
  <c r="P158" i="13"/>
  <c r="N158" i="13"/>
  <c r="Q158" i="13"/>
  <c r="D157" i="13"/>
  <c r="D156" i="13"/>
  <c r="D155" i="13"/>
  <c r="D154" i="13"/>
  <c r="D153" i="13"/>
  <c r="D152" i="13"/>
  <c r="A152" i="13"/>
  <c r="A153" i="13"/>
  <c r="A154" i="13"/>
  <c r="A155" i="13"/>
  <c r="A156" i="13"/>
  <c r="A157" i="13"/>
  <c r="B157" i="13"/>
  <c r="C157" i="13"/>
  <c r="Z157" i="13"/>
  <c r="E157" i="13"/>
  <c r="Y157" i="13"/>
  <c r="G157" i="13"/>
  <c r="K157" i="13"/>
  <c r="V157" i="13"/>
  <c r="W157" i="13"/>
  <c r="T157" i="13"/>
  <c r="O157" i="13"/>
  <c r="M157" i="13"/>
  <c r="P157" i="13"/>
  <c r="N157" i="13"/>
  <c r="Q157" i="13"/>
  <c r="B156" i="13"/>
  <c r="C156" i="13"/>
  <c r="Z156" i="13"/>
  <c r="E156" i="13"/>
  <c r="Y156" i="13"/>
  <c r="G156" i="13"/>
  <c r="K156" i="13"/>
  <c r="V156" i="13"/>
  <c r="W156" i="13"/>
  <c r="T156" i="13"/>
  <c r="O156" i="13"/>
  <c r="M156" i="13"/>
  <c r="P156" i="13"/>
  <c r="N156" i="13"/>
  <c r="Q156" i="13"/>
  <c r="B155" i="13"/>
  <c r="C155" i="13"/>
  <c r="Z155" i="13"/>
  <c r="E155" i="13"/>
  <c r="Y155" i="13"/>
  <c r="G155" i="13"/>
  <c r="K155" i="13"/>
  <c r="V155" i="13"/>
  <c r="W155" i="13"/>
  <c r="T155" i="13"/>
  <c r="O155" i="13"/>
  <c r="M155" i="13"/>
  <c r="P155" i="13"/>
  <c r="N155" i="13"/>
  <c r="Q155" i="13"/>
  <c r="B154" i="13"/>
  <c r="C154" i="13"/>
  <c r="Z154" i="13"/>
  <c r="E154" i="13"/>
  <c r="Y154" i="13"/>
  <c r="G154" i="13"/>
  <c r="K154" i="13"/>
  <c r="V154" i="13"/>
  <c r="W154" i="13"/>
  <c r="T154" i="13"/>
  <c r="O154" i="13"/>
  <c r="M154" i="13"/>
  <c r="P154" i="13"/>
  <c r="N154" i="13"/>
  <c r="Q154" i="13"/>
  <c r="B153" i="13"/>
  <c r="C153" i="13"/>
  <c r="Z153" i="13"/>
  <c r="E153" i="13"/>
  <c r="Y153" i="13"/>
  <c r="G153" i="13"/>
  <c r="K153" i="13"/>
  <c r="V153" i="13"/>
  <c r="W153" i="13"/>
  <c r="T153" i="13"/>
  <c r="O153" i="13"/>
  <c r="M153" i="13"/>
  <c r="P153" i="13"/>
  <c r="N153" i="13"/>
  <c r="Q153" i="13"/>
  <c r="B152" i="13"/>
  <c r="C152" i="13"/>
  <c r="Z152" i="13"/>
  <c r="E152" i="13"/>
  <c r="Y152" i="13"/>
  <c r="G152" i="13"/>
  <c r="K152" i="13"/>
  <c r="V152" i="13"/>
  <c r="W152" i="13"/>
  <c r="T152" i="13"/>
  <c r="O152" i="13"/>
  <c r="M152" i="13"/>
  <c r="P152" i="13"/>
  <c r="N152" i="13"/>
  <c r="Q152" i="13"/>
  <c r="D151" i="13"/>
  <c r="D150" i="13"/>
  <c r="D149" i="13"/>
  <c r="D148" i="13"/>
  <c r="D147" i="13"/>
  <c r="D146" i="13"/>
  <c r="A146" i="13"/>
  <c r="A147" i="13"/>
  <c r="A148" i="13"/>
  <c r="A149" i="13"/>
  <c r="A150" i="13"/>
  <c r="A151" i="13"/>
  <c r="B151" i="13"/>
  <c r="C151" i="13"/>
  <c r="Z151" i="13"/>
  <c r="E151" i="13"/>
  <c r="Y151" i="13"/>
  <c r="G151" i="13"/>
  <c r="K151" i="13"/>
  <c r="V151" i="13"/>
  <c r="W151" i="13"/>
  <c r="T151" i="13"/>
  <c r="O151" i="13"/>
  <c r="M151" i="13"/>
  <c r="P151" i="13"/>
  <c r="N151" i="13"/>
  <c r="Q151" i="13"/>
  <c r="B150" i="13"/>
  <c r="C150" i="13"/>
  <c r="Z150" i="13"/>
  <c r="E150" i="13"/>
  <c r="Y150" i="13"/>
  <c r="G150" i="13"/>
  <c r="K150" i="13"/>
  <c r="V150" i="13"/>
  <c r="W150" i="13"/>
  <c r="T150" i="13"/>
  <c r="O150" i="13"/>
  <c r="M150" i="13"/>
  <c r="P150" i="13"/>
  <c r="N150" i="13"/>
  <c r="Q150" i="13"/>
  <c r="B149" i="13"/>
  <c r="C149" i="13"/>
  <c r="Z149" i="13"/>
  <c r="E149" i="13"/>
  <c r="Y149" i="13"/>
  <c r="G149" i="13"/>
  <c r="K149" i="13"/>
  <c r="V149" i="13"/>
  <c r="W149" i="13"/>
  <c r="T149" i="13"/>
  <c r="O149" i="13"/>
  <c r="M149" i="13"/>
  <c r="P149" i="13"/>
  <c r="N149" i="13"/>
  <c r="Q149" i="13"/>
  <c r="B148" i="13"/>
  <c r="C148" i="13"/>
  <c r="Z148" i="13"/>
  <c r="E148" i="13"/>
  <c r="Y148" i="13"/>
  <c r="G148" i="13"/>
  <c r="K148" i="13"/>
  <c r="V148" i="13"/>
  <c r="W148" i="13"/>
  <c r="T148" i="13"/>
  <c r="O148" i="13"/>
  <c r="M148" i="13"/>
  <c r="P148" i="13"/>
  <c r="N148" i="13"/>
  <c r="Q148" i="13"/>
  <c r="B147" i="13"/>
  <c r="C147" i="13"/>
  <c r="Z147" i="13"/>
  <c r="E147" i="13"/>
  <c r="Y147" i="13"/>
  <c r="G147" i="13"/>
  <c r="K147" i="13"/>
  <c r="V147" i="13"/>
  <c r="W147" i="13"/>
  <c r="T147" i="13"/>
  <c r="O147" i="13"/>
  <c r="M147" i="13"/>
  <c r="P147" i="13"/>
  <c r="N147" i="13"/>
  <c r="Q147" i="13"/>
  <c r="B146" i="13"/>
  <c r="C146" i="13"/>
  <c r="Z146" i="13"/>
  <c r="E146" i="13"/>
  <c r="Y146" i="13"/>
  <c r="G146" i="13"/>
  <c r="K146" i="13"/>
  <c r="V146" i="13"/>
  <c r="W146" i="13"/>
  <c r="T146" i="13"/>
  <c r="O146" i="13"/>
  <c r="M146" i="13"/>
  <c r="P146" i="13"/>
  <c r="N146" i="13"/>
  <c r="Q146" i="13"/>
  <c r="D145" i="13"/>
  <c r="D144" i="13"/>
  <c r="D143" i="13"/>
  <c r="D142" i="13"/>
  <c r="D141" i="13"/>
  <c r="D140" i="13"/>
  <c r="A140" i="13"/>
  <c r="A141" i="13"/>
  <c r="A142" i="13"/>
  <c r="A143" i="13"/>
  <c r="A144" i="13"/>
  <c r="A145" i="13"/>
  <c r="B145" i="13"/>
  <c r="C145" i="13"/>
  <c r="Z145" i="13"/>
  <c r="E145" i="13"/>
  <c r="Y145" i="13"/>
  <c r="G145" i="13"/>
  <c r="K145" i="13"/>
  <c r="V145" i="13"/>
  <c r="W145" i="13"/>
  <c r="T145" i="13"/>
  <c r="O145" i="13"/>
  <c r="M145" i="13"/>
  <c r="P145" i="13"/>
  <c r="N145" i="13"/>
  <c r="Q145" i="13"/>
  <c r="B144" i="13"/>
  <c r="C144" i="13"/>
  <c r="Z144" i="13"/>
  <c r="E144" i="13"/>
  <c r="Y144" i="13"/>
  <c r="G144" i="13"/>
  <c r="K144" i="13"/>
  <c r="V144" i="13"/>
  <c r="W144" i="13"/>
  <c r="T144" i="13"/>
  <c r="O144" i="13"/>
  <c r="M144" i="13"/>
  <c r="P144" i="13"/>
  <c r="N144" i="13"/>
  <c r="Q144" i="13"/>
  <c r="B143" i="13"/>
  <c r="C143" i="13"/>
  <c r="Z143" i="13"/>
  <c r="E143" i="13"/>
  <c r="Y143" i="13"/>
  <c r="G143" i="13"/>
  <c r="K143" i="13"/>
  <c r="V143" i="13"/>
  <c r="W143" i="13"/>
  <c r="T143" i="13"/>
  <c r="O143" i="13"/>
  <c r="M143" i="13"/>
  <c r="P143" i="13"/>
  <c r="N143" i="13"/>
  <c r="Q143" i="13"/>
  <c r="B142" i="13"/>
  <c r="C142" i="13"/>
  <c r="Z142" i="13"/>
  <c r="E142" i="13"/>
  <c r="Y142" i="13"/>
  <c r="G142" i="13"/>
  <c r="K142" i="13"/>
  <c r="V142" i="13"/>
  <c r="W142" i="13"/>
  <c r="T142" i="13"/>
  <c r="O142" i="13"/>
  <c r="M142" i="13"/>
  <c r="P142" i="13"/>
  <c r="N142" i="13"/>
  <c r="Q142" i="13"/>
  <c r="B141" i="13"/>
  <c r="C141" i="13"/>
  <c r="Z141" i="13"/>
  <c r="E141" i="13"/>
  <c r="Y141" i="13"/>
  <c r="G141" i="13"/>
  <c r="K141" i="13"/>
  <c r="V141" i="13"/>
  <c r="W141" i="13"/>
  <c r="T141" i="13"/>
  <c r="O141" i="13"/>
  <c r="M141" i="13"/>
  <c r="P141" i="13"/>
  <c r="N141" i="13"/>
  <c r="Q141" i="13"/>
  <c r="B140" i="13"/>
  <c r="C140" i="13"/>
  <c r="Z140" i="13"/>
  <c r="E140" i="13"/>
  <c r="Y140" i="13"/>
  <c r="G140" i="13"/>
  <c r="K140" i="13"/>
  <c r="V140" i="13"/>
  <c r="W140" i="13"/>
  <c r="T140" i="13"/>
  <c r="O140" i="13"/>
  <c r="M140" i="13"/>
  <c r="P140" i="13"/>
  <c r="N140" i="13"/>
  <c r="Q140" i="13"/>
  <c r="D139" i="13"/>
  <c r="D138" i="13"/>
  <c r="D137" i="13"/>
  <c r="D136" i="13"/>
  <c r="D135" i="13"/>
  <c r="D134" i="13"/>
  <c r="A134" i="13"/>
  <c r="A135" i="13"/>
  <c r="A136" i="13"/>
  <c r="A137" i="13"/>
  <c r="A138" i="13"/>
  <c r="A139" i="13"/>
  <c r="B139" i="13"/>
  <c r="C139" i="13"/>
  <c r="Z139" i="13"/>
  <c r="E139" i="13"/>
  <c r="Y139" i="13"/>
  <c r="G139" i="13"/>
  <c r="K139" i="13"/>
  <c r="V139" i="13"/>
  <c r="W139" i="13"/>
  <c r="T139" i="13"/>
  <c r="O139" i="13"/>
  <c r="M139" i="13"/>
  <c r="P139" i="13"/>
  <c r="N139" i="13"/>
  <c r="Q139" i="13"/>
  <c r="B138" i="13"/>
  <c r="C138" i="13"/>
  <c r="Z138" i="13"/>
  <c r="E138" i="13"/>
  <c r="Y138" i="13"/>
  <c r="G138" i="13"/>
  <c r="K138" i="13"/>
  <c r="V138" i="13"/>
  <c r="W138" i="13"/>
  <c r="T138" i="13"/>
  <c r="O138" i="13"/>
  <c r="M138" i="13"/>
  <c r="P138" i="13"/>
  <c r="N138" i="13"/>
  <c r="Q138" i="13"/>
  <c r="B137" i="13"/>
  <c r="C137" i="13"/>
  <c r="Z137" i="13"/>
  <c r="E137" i="13"/>
  <c r="Y137" i="13"/>
  <c r="G137" i="13"/>
  <c r="K137" i="13"/>
  <c r="V137" i="13"/>
  <c r="W137" i="13"/>
  <c r="T137" i="13"/>
  <c r="O137" i="13"/>
  <c r="M137" i="13"/>
  <c r="P137" i="13"/>
  <c r="N137" i="13"/>
  <c r="Q137" i="13"/>
  <c r="B136" i="13"/>
  <c r="C136" i="13"/>
  <c r="Z136" i="13"/>
  <c r="E136" i="13"/>
  <c r="Y136" i="13"/>
  <c r="G136" i="13"/>
  <c r="K136" i="13"/>
  <c r="V136" i="13"/>
  <c r="W136" i="13"/>
  <c r="T136" i="13"/>
  <c r="O136" i="13"/>
  <c r="M136" i="13"/>
  <c r="P136" i="13"/>
  <c r="N136" i="13"/>
  <c r="Q136" i="13"/>
  <c r="B135" i="13"/>
  <c r="C135" i="13"/>
  <c r="Z135" i="13"/>
  <c r="E135" i="13"/>
  <c r="Y135" i="13"/>
  <c r="G135" i="13"/>
  <c r="K135" i="13"/>
  <c r="V135" i="13"/>
  <c r="W135" i="13"/>
  <c r="T135" i="13"/>
  <c r="O135" i="13"/>
  <c r="M135" i="13"/>
  <c r="P135" i="13"/>
  <c r="N135" i="13"/>
  <c r="Q135" i="13"/>
  <c r="B134" i="13"/>
  <c r="C134" i="13"/>
  <c r="Z134" i="13"/>
  <c r="E134" i="13"/>
  <c r="Y134" i="13"/>
  <c r="G134" i="13"/>
  <c r="K134" i="13"/>
  <c r="V134" i="13"/>
  <c r="W134" i="13"/>
  <c r="T134" i="13"/>
  <c r="O134" i="13"/>
  <c r="M134" i="13"/>
  <c r="P134" i="13"/>
  <c r="N134" i="13"/>
  <c r="Q134" i="13"/>
  <c r="D133" i="13"/>
  <c r="D132" i="13"/>
  <c r="D131" i="13"/>
  <c r="D130" i="13"/>
  <c r="D129" i="13"/>
  <c r="D128" i="13"/>
  <c r="A128" i="13"/>
  <c r="A129" i="13"/>
  <c r="A130" i="13"/>
  <c r="A131" i="13"/>
  <c r="A132" i="13"/>
  <c r="A133" i="13"/>
  <c r="B133" i="13"/>
  <c r="C133" i="13"/>
  <c r="Z133" i="13"/>
  <c r="E133" i="13"/>
  <c r="Y133" i="13"/>
  <c r="G133" i="13"/>
  <c r="K133" i="13"/>
  <c r="V133" i="13"/>
  <c r="W133" i="13"/>
  <c r="T133" i="13"/>
  <c r="O133" i="13"/>
  <c r="M133" i="13"/>
  <c r="P133" i="13"/>
  <c r="N133" i="13"/>
  <c r="Q133" i="13"/>
  <c r="B132" i="13"/>
  <c r="C132" i="13"/>
  <c r="Z132" i="13"/>
  <c r="E132" i="13"/>
  <c r="Y132" i="13"/>
  <c r="G132" i="13"/>
  <c r="K132" i="13"/>
  <c r="V132" i="13"/>
  <c r="W132" i="13"/>
  <c r="T132" i="13"/>
  <c r="O132" i="13"/>
  <c r="M132" i="13"/>
  <c r="P132" i="13"/>
  <c r="N132" i="13"/>
  <c r="Q132" i="13"/>
  <c r="B131" i="13"/>
  <c r="C131" i="13"/>
  <c r="Z131" i="13"/>
  <c r="E131" i="13"/>
  <c r="Y131" i="13"/>
  <c r="G131" i="13"/>
  <c r="K131" i="13"/>
  <c r="V131" i="13"/>
  <c r="W131" i="13"/>
  <c r="T131" i="13"/>
  <c r="O131" i="13"/>
  <c r="M131" i="13"/>
  <c r="P131" i="13"/>
  <c r="N131" i="13"/>
  <c r="Q131" i="13"/>
  <c r="B130" i="13"/>
  <c r="C130" i="13"/>
  <c r="Z130" i="13"/>
  <c r="E130" i="13"/>
  <c r="Y130" i="13"/>
  <c r="G130" i="13"/>
  <c r="K130" i="13"/>
  <c r="V130" i="13"/>
  <c r="W130" i="13"/>
  <c r="T130" i="13"/>
  <c r="O130" i="13"/>
  <c r="M130" i="13"/>
  <c r="P130" i="13"/>
  <c r="N130" i="13"/>
  <c r="Q130" i="13"/>
  <c r="B129" i="13"/>
  <c r="C129" i="13"/>
  <c r="Z129" i="13"/>
  <c r="E129" i="13"/>
  <c r="Y129" i="13"/>
  <c r="G129" i="13"/>
  <c r="K129" i="13"/>
  <c r="V129" i="13"/>
  <c r="W129" i="13"/>
  <c r="T129" i="13"/>
  <c r="O129" i="13"/>
  <c r="M129" i="13"/>
  <c r="P129" i="13"/>
  <c r="N129" i="13"/>
  <c r="Q129" i="13"/>
  <c r="B128" i="13"/>
  <c r="C128" i="13"/>
  <c r="Z128" i="13"/>
  <c r="E128" i="13"/>
  <c r="Y128" i="13"/>
  <c r="G128" i="13"/>
  <c r="K128" i="13"/>
  <c r="V128" i="13"/>
  <c r="W128" i="13"/>
  <c r="T128" i="13"/>
  <c r="O128" i="13"/>
  <c r="M128" i="13"/>
  <c r="P128" i="13"/>
  <c r="N128" i="13"/>
  <c r="Q128" i="13"/>
  <c r="D127" i="13"/>
  <c r="D126" i="13"/>
  <c r="D125" i="13"/>
  <c r="D124" i="13"/>
  <c r="D123" i="13"/>
  <c r="D122" i="13"/>
  <c r="A122" i="13"/>
  <c r="A123" i="13"/>
  <c r="A124" i="13"/>
  <c r="A125" i="13"/>
  <c r="A126" i="13"/>
  <c r="A127" i="13"/>
  <c r="B127" i="13"/>
  <c r="C127" i="13"/>
  <c r="Z127" i="13"/>
  <c r="E127" i="13"/>
  <c r="Y127" i="13"/>
  <c r="G127" i="13"/>
  <c r="K127" i="13"/>
  <c r="V127" i="13"/>
  <c r="W127" i="13"/>
  <c r="T127" i="13"/>
  <c r="O127" i="13"/>
  <c r="M127" i="13"/>
  <c r="P127" i="13"/>
  <c r="N127" i="13"/>
  <c r="Q127" i="13"/>
  <c r="B126" i="13"/>
  <c r="C126" i="13"/>
  <c r="Z126" i="13"/>
  <c r="E126" i="13"/>
  <c r="Y126" i="13"/>
  <c r="G126" i="13"/>
  <c r="K126" i="13"/>
  <c r="V126" i="13"/>
  <c r="W126" i="13"/>
  <c r="T126" i="13"/>
  <c r="O126" i="13"/>
  <c r="M126" i="13"/>
  <c r="P126" i="13"/>
  <c r="N126" i="13"/>
  <c r="Q126" i="13"/>
  <c r="B125" i="13"/>
  <c r="C125" i="13"/>
  <c r="Z125" i="13"/>
  <c r="E125" i="13"/>
  <c r="Y125" i="13"/>
  <c r="G125" i="13"/>
  <c r="K125" i="13"/>
  <c r="V125" i="13"/>
  <c r="W125" i="13"/>
  <c r="T125" i="13"/>
  <c r="O125" i="13"/>
  <c r="M125" i="13"/>
  <c r="P125" i="13"/>
  <c r="N125" i="13"/>
  <c r="Q125" i="13"/>
  <c r="B124" i="13"/>
  <c r="C124" i="13"/>
  <c r="Z124" i="13"/>
  <c r="E124" i="13"/>
  <c r="Y124" i="13"/>
  <c r="G124" i="13"/>
  <c r="K124" i="13"/>
  <c r="V124" i="13"/>
  <c r="W124" i="13"/>
  <c r="T124" i="13"/>
  <c r="O124" i="13"/>
  <c r="M124" i="13"/>
  <c r="P124" i="13"/>
  <c r="N124" i="13"/>
  <c r="Q124" i="13"/>
  <c r="B123" i="13"/>
  <c r="C123" i="13"/>
  <c r="Z123" i="13"/>
  <c r="E123" i="13"/>
  <c r="Y123" i="13"/>
  <c r="G123" i="13"/>
  <c r="K123" i="13"/>
  <c r="V123" i="13"/>
  <c r="W123" i="13"/>
  <c r="T123" i="13"/>
  <c r="O123" i="13"/>
  <c r="M123" i="13"/>
  <c r="P123" i="13"/>
  <c r="N123" i="13"/>
  <c r="Q123" i="13"/>
  <c r="B122" i="13"/>
  <c r="C122" i="13"/>
  <c r="Z122" i="13"/>
  <c r="E122" i="13"/>
  <c r="Y122" i="13"/>
  <c r="G122" i="13"/>
  <c r="K122" i="13"/>
  <c r="V122" i="13"/>
  <c r="W122" i="13"/>
  <c r="T122" i="13"/>
  <c r="O122" i="13"/>
  <c r="M122" i="13"/>
  <c r="P122" i="13"/>
  <c r="N122" i="13"/>
  <c r="Q122" i="13"/>
  <c r="D121" i="13"/>
  <c r="D120" i="13"/>
  <c r="D119" i="13"/>
  <c r="D118" i="13"/>
  <c r="D117" i="13"/>
  <c r="D116" i="13"/>
  <c r="A116" i="13"/>
  <c r="A117" i="13"/>
  <c r="A118" i="13"/>
  <c r="A119" i="13"/>
  <c r="A120" i="13"/>
  <c r="A121" i="13"/>
  <c r="B121" i="13"/>
  <c r="C121" i="13"/>
  <c r="Z121" i="13"/>
  <c r="E121" i="13"/>
  <c r="Y121" i="13"/>
  <c r="G121" i="13"/>
  <c r="K121" i="13"/>
  <c r="V121" i="13"/>
  <c r="W121" i="13"/>
  <c r="T121" i="13"/>
  <c r="O121" i="13"/>
  <c r="M121" i="13"/>
  <c r="P121" i="13"/>
  <c r="N121" i="13"/>
  <c r="Q121" i="13"/>
  <c r="B120" i="13"/>
  <c r="C120" i="13"/>
  <c r="Z120" i="13"/>
  <c r="E120" i="13"/>
  <c r="Y120" i="13"/>
  <c r="G120" i="13"/>
  <c r="K120" i="13"/>
  <c r="V120" i="13"/>
  <c r="W120" i="13"/>
  <c r="T120" i="13"/>
  <c r="O120" i="13"/>
  <c r="M120" i="13"/>
  <c r="P120" i="13"/>
  <c r="N120" i="13"/>
  <c r="Q120" i="13"/>
  <c r="B119" i="13"/>
  <c r="C119" i="13"/>
  <c r="Z119" i="13"/>
  <c r="E119" i="13"/>
  <c r="Y119" i="13"/>
  <c r="G119" i="13"/>
  <c r="K119" i="13"/>
  <c r="V119" i="13"/>
  <c r="W119" i="13"/>
  <c r="T119" i="13"/>
  <c r="O119" i="13"/>
  <c r="M119" i="13"/>
  <c r="P119" i="13"/>
  <c r="N119" i="13"/>
  <c r="Q119" i="13"/>
  <c r="B118" i="13"/>
  <c r="C118" i="13"/>
  <c r="Z118" i="13"/>
  <c r="E118" i="13"/>
  <c r="Y118" i="13"/>
  <c r="G118" i="13"/>
  <c r="K118" i="13"/>
  <c r="V118" i="13"/>
  <c r="W118" i="13"/>
  <c r="T118" i="13"/>
  <c r="O118" i="13"/>
  <c r="M118" i="13"/>
  <c r="P118" i="13"/>
  <c r="N118" i="13"/>
  <c r="Q118" i="13"/>
  <c r="B117" i="13"/>
  <c r="C117" i="13"/>
  <c r="Z117" i="13"/>
  <c r="E117" i="13"/>
  <c r="Y117" i="13"/>
  <c r="G117" i="13"/>
  <c r="K117" i="13"/>
  <c r="V117" i="13"/>
  <c r="W117" i="13"/>
  <c r="T117" i="13"/>
  <c r="O117" i="13"/>
  <c r="M117" i="13"/>
  <c r="P117" i="13"/>
  <c r="N117" i="13"/>
  <c r="Q117" i="13"/>
  <c r="B116" i="13"/>
  <c r="C116" i="13"/>
  <c r="Z116" i="13"/>
  <c r="E116" i="13"/>
  <c r="Y116" i="13"/>
  <c r="G116" i="13"/>
  <c r="K116" i="13"/>
  <c r="V116" i="13"/>
  <c r="W116" i="13"/>
  <c r="T116" i="13"/>
  <c r="O116" i="13"/>
  <c r="M116" i="13"/>
  <c r="P116" i="13"/>
  <c r="N116" i="13"/>
  <c r="Q116" i="13"/>
  <c r="D115" i="13"/>
  <c r="D114" i="13"/>
  <c r="D113" i="13"/>
  <c r="D112" i="13"/>
  <c r="D111" i="13"/>
  <c r="D110" i="13"/>
  <c r="A110" i="13"/>
  <c r="A111" i="13"/>
  <c r="A112" i="13"/>
  <c r="A113" i="13"/>
  <c r="A114" i="13"/>
  <c r="A115" i="13"/>
  <c r="B115" i="13"/>
  <c r="C115" i="13"/>
  <c r="Z115" i="13"/>
  <c r="E115" i="13"/>
  <c r="Y115" i="13"/>
  <c r="G115" i="13"/>
  <c r="K115" i="13"/>
  <c r="V115" i="13"/>
  <c r="W115" i="13"/>
  <c r="T115" i="13"/>
  <c r="O115" i="13"/>
  <c r="M115" i="13"/>
  <c r="P115" i="13"/>
  <c r="N115" i="13"/>
  <c r="Q115" i="13"/>
  <c r="B114" i="13"/>
  <c r="C114" i="13"/>
  <c r="Z114" i="13"/>
  <c r="E114" i="13"/>
  <c r="Y114" i="13"/>
  <c r="G114" i="13"/>
  <c r="K114" i="13"/>
  <c r="V114" i="13"/>
  <c r="W114" i="13"/>
  <c r="T114" i="13"/>
  <c r="O114" i="13"/>
  <c r="M114" i="13"/>
  <c r="P114" i="13"/>
  <c r="N114" i="13"/>
  <c r="Q114" i="13"/>
  <c r="B113" i="13"/>
  <c r="C113" i="13"/>
  <c r="Z113" i="13"/>
  <c r="E113" i="13"/>
  <c r="Y113" i="13"/>
  <c r="G113" i="13"/>
  <c r="K113" i="13"/>
  <c r="V113" i="13"/>
  <c r="W113" i="13"/>
  <c r="T113" i="13"/>
  <c r="O113" i="13"/>
  <c r="M113" i="13"/>
  <c r="P113" i="13"/>
  <c r="N113" i="13"/>
  <c r="Q113" i="13"/>
  <c r="B112" i="13"/>
  <c r="C112" i="13"/>
  <c r="Z112" i="13"/>
  <c r="E112" i="13"/>
  <c r="Y112" i="13"/>
  <c r="G112" i="13"/>
  <c r="K112" i="13"/>
  <c r="V112" i="13"/>
  <c r="W112" i="13"/>
  <c r="T112" i="13"/>
  <c r="O112" i="13"/>
  <c r="M112" i="13"/>
  <c r="P112" i="13"/>
  <c r="N112" i="13"/>
  <c r="Q112" i="13"/>
  <c r="B111" i="13"/>
  <c r="C111" i="13"/>
  <c r="Z111" i="13"/>
  <c r="E111" i="13"/>
  <c r="Y111" i="13"/>
  <c r="G111" i="13"/>
  <c r="K111" i="13"/>
  <c r="V111" i="13"/>
  <c r="W111" i="13"/>
  <c r="T111" i="13"/>
  <c r="O111" i="13"/>
  <c r="M111" i="13"/>
  <c r="P111" i="13"/>
  <c r="N111" i="13"/>
  <c r="Q111" i="13"/>
  <c r="B110" i="13"/>
  <c r="C110" i="13"/>
  <c r="Z110" i="13"/>
  <c r="E110" i="13"/>
  <c r="Y110" i="13"/>
  <c r="G110" i="13"/>
  <c r="K110" i="13"/>
  <c r="V110" i="13"/>
  <c r="W110" i="13"/>
  <c r="T110" i="13"/>
  <c r="O110" i="13"/>
  <c r="M110" i="13"/>
  <c r="P110" i="13"/>
  <c r="N110" i="13"/>
  <c r="Q110" i="13"/>
  <c r="D109" i="13"/>
  <c r="D108" i="13"/>
  <c r="D107" i="13"/>
  <c r="D106" i="13"/>
  <c r="D105" i="13"/>
  <c r="D104" i="13"/>
  <c r="A104" i="13"/>
  <c r="A105" i="13"/>
  <c r="A106" i="13"/>
  <c r="A107" i="13"/>
  <c r="A108" i="13"/>
  <c r="A109" i="13"/>
  <c r="B109" i="13"/>
  <c r="C109" i="13"/>
  <c r="Z109" i="13"/>
  <c r="E109" i="13"/>
  <c r="Y109" i="13"/>
  <c r="G109" i="13"/>
  <c r="K109" i="13"/>
  <c r="V109" i="13"/>
  <c r="W109" i="13"/>
  <c r="T109" i="13"/>
  <c r="O109" i="13"/>
  <c r="M109" i="13"/>
  <c r="P109" i="13"/>
  <c r="N109" i="13"/>
  <c r="Q109" i="13"/>
  <c r="B108" i="13"/>
  <c r="C108" i="13"/>
  <c r="Z108" i="13"/>
  <c r="E108" i="13"/>
  <c r="Y108" i="13"/>
  <c r="G108" i="13"/>
  <c r="K108" i="13"/>
  <c r="V108" i="13"/>
  <c r="W108" i="13"/>
  <c r="T108" i="13"/>
  <c r="O108" i="13"/>
  <c r="M108" i="13"/>
  <c r="P108" i="13"/>
  <c r="N108" i="13"/>
  <c r="Q108" i="13"/>
  <c r="B107" i="13"/>
  <c r="C107" i="13"/>
  <c r="Z107" i="13"/>
  <c r="E107" i="13"/>
  <c r="Y107" i="13"/>
  <c r="G107" i="13"/>
  <c r="K107" i="13"/>
  <c r="V107" i="13"/>
  <c r="W107" i="13"/>
  <c r="T107" i="13"/>
  <c r="O107" i="13"/>
  <c r="M107" i="13"/>
  <c r="P107" i="13"/>
  <c r="N107" i="13"/>
  <c r="Q107" i="13"/>
  <c r="B106" i="13"/>
  <c r="C106" i="13"/>
  <c r="Z106" i="13"/>
  <c r="E106" i="13"/>
  <c r="Y106" i="13"/>
  <c r="G106" i="13"/>
  <c r="K106" i="13"/>
  <c r="V106" i="13"/>
  <c r="W106" i="13"/>
  <c r="T106" i="13"/>
  <c r="O106" i="13"/>
  <c r="M106" i="13"/>
  <c r="P106" i="13"/>
  <c r="N106" i="13"/>
  <c r="Q106" i="13"/>
  <c r="B105" i="13"/>
  <c r="C105" i="13"/>
  <c r="Z105" i="13"/>
  <c r="E105" i="13"/>
  <c r="Y105" i="13"/>
  <c r="G105" i="13"/>
  <c r="K105" i="13"/>
  <c r="V105" i="13"/>
  <c r="W105" i="13"/>
  <c r="T105" i="13"/>
  <c r="O105" i="13"/>
  <c r="M105" i="13"/>
  <c r="P105" i="13"/>
  <c r="N105" i="13"/>
  <c r="Q105" i="13"/>
  <c r="B104" i="13"/>
  <c r="C104" i="13"/>
  <c r="Z104" i="13"/>
  <c r="E104" i="13"/>
  <c r="Y104" i="13"/>
  <c r="G104" i="13"/>
  <c r="K104" i="13"/>
  <c r="V104" i="13"/>
  <c r="W104" i="13"/>
  <c r="T104" i="13"/>
  <c r="O104" i="13"/>
  <c r="M104" i="13"/>
  <c r="P104" i="13"/>
  <c r="N104" i="13"/>
  <c r="Q104" i="13"/>
  <c r="D103" i="13"/>
  <c r="D102" i="13"/>
  <c r="D101" i="13"/>
  <c r="D100" i="13"/>
  <c r="D99" i="13"/>
  <c r="D98" i="13"/>
  <c r="A98" i="13"/>
  <c r="A99" i="13"/>
  <c r="A100" i="13"/>
  <c r="A101" i="13"/>
  <c r="A102" i="13"/>
  <c r="A103" i="13"/>
  <c r="B103" i="13"/>
  <c r="C103" i="13"/>
  <c r="Z103" i="13"/>
  <c r="E103" i="13"/>
  <c r="Y103" i="13"/>
  <c r="G103" i="13"/>
  <c r="K103" i="13"/>
  <c r="V103" i="13"/>
  <c r="W103" i="13"/>
  <c r="T103" i="13"/>
  <c r="O103" i="13"/>
  <c r="M103" i="13"/>
  <c r="P103" i="13"/>
  <c r="N103" i="13"/>
  <c r="Q103" i="13"/>
  <c r="B102" i="13"/>
  <c r="C102" i="13"/>
  <c r="Z102" i="13"/>
  <c r="E102" i="13"/>
  <c r="Y102" i="13"/>
  <c r="G102" i="13"/>
  <c r="K102" i="13"/>
  <c r="V102" i="13"/>
  <c r="W102" i="13"/>
  <c r="T102" i="13"/>
  <c r="O102" i="13"/>
  <c r="M102" i="13"/>
  <c r="P102" i="13"/>
  <c r="N102" i="13"/>
  <c r="Q102" i="13"/>
  <c r="B101" i="13"/>
  <c r="C101" i="13"/>
  <c r="Z101" i="13"/>
  <c r="E101" i="13"/>
  <c r="Y101" i="13"/>
  <c r="G101" i="13"/>
  <c r="K101" i="13"/>
  <c r="V101" i="13"/>
  <c r="W101" i="13"/>
  <c r="T101" i="13"/>
  <c r="O101" i="13"/>
  <c r="M101" i="13"/>
  <c r="P101" i="13"/>
  <c r="N101" i="13"/>
  <c r="Q101" i="13"/>
  <c r="B100" i="13"/>
  <c r="C100" i="13"/>
  <c r="Z100" i="13"/>
  <c r="E100" i="13"/>
  <c r="Y100" i="13"/>
  <c r="G100" i="13"/>
  <c r="K100" i="13"/>
  <c r="V100" i="13"/>
  <c r="W100" i="13"/>
  <c r="T100" i="13"/>
  <c r="O100" i="13"/>
  <c r="M100" i="13"/>
  <c r="P100" i="13"/>
  <c r="N100" i="13"/>
  <c r="Q100" i="13"/>
  <c r="B99" i="13"/>
  <c r="C99" i="13"/>
  <c r="Z99" i="13"/>
  <c r="E99" i="13"/>
  <c r="Y99" i="13"/>
  <c r="G99" i="13"/>
  <c r="K99" i="13"/>
  <c r="V99" i="13"/>
  <c r="W99" i="13"/>
  <c r="T99" i="13"/>
  <c r="O99" i="13"/>
  <c r="M99" i="13"/>
  <c r="P99" i="13"/>
  <c r="N99" i="13"/>
  <c r="Q99" i="13"/>
  <c r="B98" i="13"/>
  <c r="C98" i="13"/>
  <c r="Z98" i="13"/>
  <c r="E98" i="13"/>
  <c r="Y98" i="13"/>
  <c r="G98" i="13"/>
  <c r="K98" i="13"/>
  <c r="V98" i="13"/>
  <c r="W98" i="13"/>
  <c r="T98" i="13"/>
  <c r="O98" i="13"/>
  <c r="M98" i="13"/>
  <c r="P98" i="13"/>
  <c r="N98" i="13"/>
  <c r="Q98" i="13"/>
  <c r="D97" i="13"/>
  <c r="D96" i="13"/>
  <c r="D95" i="13"/>
  <c r="D94" i="13"/>
  <c r="D93" i="13"/>
  <c r="D92" i="13"/>
  <c r="A92" i="13"/>
  <c r="A93" i="13"/>
  <c r="A94" i="13"/>
  <c r="A95" i="13"/>
  <c r="A96" i="13"/>
  <c r="A97" i="13"/>
  <c r="B97" i="13"/>
  <c r="C97" i="13"/>
  <c r="Z97" i="13"/>
  <c r="E97" i="13"/>
  <c r="Y97" i="13"/>
  <c r="G97" i="13"/>
  <c r="K97" i="13"/>
  <c r="V97" i="13"/>
  <c r="W97" i="13"/>
  <c r="T97" i="13"/>
  <c r="O97" i="13"/>
  <c r="M97" i="13"/>
  <c r="P97" i="13"/>
  <c r="N97" i="13"/>
  <c r="Q97" i="13"/>
  <c r="B96" i="13"/>
  <c r="C96" i="13"/>
  <c r="Z96" i="13"/>
  <c r="E96" i="13"/>
  <c r="Y96" i="13"/>
  <c r="G96" i="13"/>
  <c r="K96" i="13"/>
  <c r="V96" i="13"/>
  <c r="W96" i="13"/>
  <c r="T96" i="13"/>
  <c r="O96" i="13"/>
  <c r="M96" i="13"/>
  <c r="P96" i="13"/>
  <c r="N96" i="13"/>
  <c r="Q96" i="13"/>
  <c r="B95" i="13"/>
  <c r="C95" i="13"/>
  <c r="Z95" i="13"/>
  <c r="E95" i="13"/>
  <c r="Y95" i="13"/>
  <c r="G95" i="13"/>
  <c r="K95" i="13"/>
  <c r="V95" i="13"/>
  <c r="W95" i="13"/>
  <c r="T95" i="13"/>
  <c r="O95" i="13"/>
  <c r="M95" i="13"/>
  <c r="P95" i="13"/>
  <c r="N95" i="13"/>
  <c r="Q95" i="13"/>
  <c r="B94" i="13"/>
  <c r="C94" i="13"/>
  <c r="Z94" i="13"/>
  <c r="E94" i="13"/>
  <c r="Y94" i="13"/>
  <c r="G94" i="13"/>
  <c r="K94" i="13"/>
  <c r="V94" i="13"/>
  <c r="W94" i="13"/>
  <c r="T94" i="13"/>
  <c r="O94" i="13"/>
  <c r="M94" i="13"/>
  <c r="P94" i="13"/>
  <c r="N94" i="13"/>
  <c r="Q94" i="13"/>
  <c r="B93" i="13"/>
  <c r="C93" i="13"/>
  <c r="Z93" i="13"/>
  <c r="E93" i="13"/>
  <c r="Y93" i="13"/>
  <c r="G93" i="13"/>
  <c r="K93" i="13"/>
  <c r="V93" i="13"/>
  <c r="W93" i="13"/>
  <c r="T93" i="13"/>
  <c r="O93" i="13"/>
  <c r="M93" i="13"/>
  <c r="P93" i="13"/>
  <c r="N93" i="13"/>
  <c r="Q93" i="13"/>
  <c r="B92" i="13"/>
  <c r="C92" i="13"/>
  <c r="Z92" i="13"/>
  <c r="E92" i="13"/>
  <c r="Y92" i="13"/>
  <c r="G92" i="13"/>
  <c r="K92" i="13"/>
  <c r="V92" i="13"/>
  <c r="W92" i="13"/>
  <c r="T92" i="13"/>
  <c r="O92" i="13"/>
  <c r="M92" i="13"/>
  <c r="P92" i="13"/>
  <c r="N92" i="13"/>
  <c r="Q92" i="13"/>
  <c r="D91" i="13"/>
  <c r="D90" i="13"/>
  <c r="D89" i="13"/>
  <c r="D88" i="13"/>
  <c r="D87" i="13"/>
  <c r="D86" i="13"/>
  <c r="A86" i="13"/>
  <c r="A87" i="13"/>
  <c r="A88" i="13"/>
  <c r="A89" i="13"/>
  <c r="A90" i="13"/>
  <c r="A91" i="13"/>
  <c r="B91" i="13"/>
  <c r="C91" i="13"/>
  <c r="Z91" i="13"/>
  <c r="E91" i="13"/>
  <c r="Y91" i="13"/>
  <c r="G91" i="13"/>
  <c r="K91" i="13"/>
  <c r="V91" i="13"/>
  <c r="W91" i="13"/>
  <c r="T91" i="13"/>
  <c r="O91" i="13"/>
  <c r="M91" i="13"/>
  <c r="P91" i="13"/>
  <c r="N91" i="13"/>
  <c r="Q91" i="13"/>
  <c r="B90" i="13"/>
  <c r="C90" i="13"/>
  <c r="Z90" i="13"/>
  <c r="E90" i="13"/>
  <c r="Y90" i="13"/>
  <c r="G90" i="13"/>
  <c r="K90" i="13"/>
  <c r="V90" i="13"/>
  <c r="W90" i="13"/>
  <c r="T90" i="13"/>
  <c r="O90" i="13"/>
  <c r="M90" i="13"/>
  <c r="P90" i="13"/>
  <c r="N90" i="13"/>
  <c r="Q90" i="13"/>
  <c r="B89" i="13"/>
  <c r="C89" i="13"/>
  <c r="Z89" i="13"/>
  <c r="E89" i="13"/>
  <c r="Y89" i="13"/>
  <c r="G89" i="13"/>
  <c r="K89" i="13"/>
  <c r="V89" i="13"/>
  <c r="W89" i="13"/>
  <c r="T89" i="13"/>
  <c r="O89" i="13"/>
  <c r="M89" i="13"/>
  <c r="P89" i="13"/>
  <c r="N89" i="13"/>
  <c r="Q89" i="13"/>
  <c r="B88" i="13"/>
  <c r="C88" i="13"/>
  <c r="Z88" i="13"/>
  <c r="E88" i="13"/>
  <c r="Y88" i="13"/>
  <c r="G88" i="13"/>
  <c r="K88" i="13"/>
  <c r="V88" i="13"/>
  <c r="W88" i="13"/>
  <c r="T88" i="13"/>
  <c r="O88" i="13"/>
  <c r="M88" i="13"/>
  <c r="P88" i="13"/>
  <c r="N88" i="13"/>
  <c r="Q88" i="13"/>
  <c r="B87" i="13"/>
  <c r="C87" i="13"/>
  <c r="Z87" i="13"/>
  <c r="E87" i="13"/>
  <c r="Y87" i="13"/>
  <c r="G87" i="13"/>
  <c r="K87" i="13"/>
  <c r="V87" i="13"/>
  <c r="W87" i="13"/>
  <c r="T87" i="13"/>
  <c r="O87" i="13"/>
  <c r="M87" i="13"/>
  <c r="P87" i="13"/>
  <c r="N87" i="13"/>
  <c r="Q87" i="13"/>
  <c r="B86" i="13"/>
  <c r="C86" i="13"/>
  <c r="Z86" i="13"/>
  <c r="E86" i="13"/>
  <c r="Y86" i="13"/>
  <c r="G86" i="13"/>
  <c r="K86" i="13"/>
  <c r="V86" i="13"/>
  <c r="W86" i="13"/>
  <c r="T86" i="13"/>
  <c r="O86" i="13"/>
  <c r="M86" i="13"/>
  <c r="P86" i="13"/>
  <c r="N86" i="13"/>
  <c r="Q86" i="13"/>
  <c r="D85" i="13"/>
  <c r="D84" i="13"/>
  <c r="D83" i="13"/>
  <c r="D82" i="13"/>
  <c r="D81" i="13"/>
  <c r="D80" i="13"/>
  <c r="A80" i="13"/>
  <c r="A81" i="13"/>
  <c r="A82" i="13"/>
  <c r="A83" i="13"/>
  <c r="A84" i="13"/>
  <c r="A85" i="13"/>
  <c r="B85" i="13"/>
  <c r="C85" i="13"/>
  <c r="Z85" i="13"/>
  <c r="E85" i="13"/>
  <c r="Y85" i="13"/>
  <c r="G85" i="13"/>
  <c r="K85" i="13"/>
  <c r="V85" i="13"/>
  <c r="W85" i="13"/>
  <c r="T85" i="13"/>
  <c r="O85" i="13"/>
  <c r="M85" i="13"/>
  <c r="P85" i="13"/>
  <c r="N85" i="13"/>
  <c r="Q85" i="13"/>
  <c r="B84" i="13"/>
  <c r="C84" i="13"/>
  <c r="Z84" i="13"/>
  <c r="E84" i="13"/>
  <c r="Y84" i="13"/>
  <c r="G84" i="13"/>
  <c r="K84" i="13"/>
  <c r="V84" i="13"/>
  <c r="W84" i="13"/>
  <c r="T84" i="13"/>
  <c r="O84" i="13"/>
  <c r="M84" i="13"/>
  <c r="P84" i="13"/>
  <c r="N84" i="13"/>
  <c r="Q84" i="13"/>
  <c r="B83" i="13"/>
  <c r="C83" i="13"/>
  <c r="Z83" i="13"/>
  <c r="E83" i="13"/>
  <c r="Y83" i="13"/>
  <c r="G83" i="13"/>
  <c r="K83" i="13"/>
  <c r="V83" i="13"/>
  <c r="W83" i="13"/>
  <c r="T83" i="13"/>
  <c r="O83" i="13"/>
  <c r="M83" i="13"/>
  <c r="P83" i="13"/>
  <c r="N83" i="13"/>
  <c r="Q83" i="13"/>
  <c r="B82" i="13"/>
  <c r="C82" i="13"/>
  <c r="Z82" i="13"/>
  <c r="E82" i="13"/>
  <c r="Y82" i="13"/>
  <c r="G82" i="13"/>
  <c r="K82" i="13"/>
  <c r="V82" i="13"/>
  <c r="W82" i="13"/>
  <c r="T82" i="13"/>
  <c r="O82" i="13"/>
  <c r="M82" i="13"/>
  <c r="P82" i="13"/>
  <c r="N82" i="13"/>
  <c r="Q82" i="13"/>
  <c r="B81" i="13"/>
  <c r="C81" i="13"/>
  <c r="Z81" i="13"/>
  <c r="E81" i="13"/>
  <c r="Y81" i="13"/>
  <c r="G81" i="13"/>
  <c r="K81" i="13"/>
  <c r="V81" i="13"/>
  <c r="W81" i="13"/>
  <c r="T81" i="13"/>
  <c r="O81" i="13"/>
  <c r="M81" i="13"/>
  <c r="P81" i="13"/>
  <c r="N81" i="13"/>
  <c r="Q81" i="13"/>
  <c r="B80" i="13"/>
  <c r="C80" i="13"/>
  <c r="Z80" i="13"/>
  <c r="E80" i="13"/>
  <c r="Y80" i="13"/>
  <c r="G80" i="13"/>
  <c r="K80" i="13"/>
  <c r="V80" i="13"/>
  <c r="W80" i="13"/>
  <c r="T80" i="13"/>
  <c r="O80" i="13"/>
  <c r="M80" i="13"/>
  <c r="P80" i="13"/>
  <c r="N80" i="13"/>
  <c r="Q80" i="13"/>
  <c r="D79" i="13"/>
  <c r="D78" i="13"/>
  <c r="D77" i="13"/>
  <c r="D76" i="13"/>
  <c r="D75" i="13"/>
  <c r="D74" i="13"/>
  <c r="A74" i="13"/>
  <c r="A75" i="13"/>
  <c r="A76" i="13"/>
  <c r="A77" i="13"/>
  <c r="A78" i="13"/>
  <c r="A79" i="13"/>
  <c r="B79" i="13"/>
  <c r="C79" i="13"/>
  <c r="Z79" i="13"/>
  <c r="E79" i="13"/>
  <c r="Y79" i="13"/>
  <c r="G79" i="13"/>
  <c r="K79" i="13"/>
  <c r="V79" i="13"/>
  <c r="W79" i="13"/>
  <c r="T79" i="13"/>
  <c r="O79" i="13"/>
  <c r="M79" i="13"/>
  <c r="P79" i="13"/>
  <c r="N79" i="13"/>
  <c r="Q79" i="13"/>
  <c r="B78" i="13"/>
  <c r="C78" i="13"/>
  <c r="Z78" i="13"/>
  <c r="E78" i="13"/>
  <c r="Y78" i="13"/>
  <c r="G78" i="13"/>
  <c r="K78" i="13"/>
  <c r="V78" i="13"/>
  <c r="W78" i="13"/>
  <c r="T78" i="13"/>
  <c r="O78" i="13"/>
  <c r="M78" i="13"/>
  <c r="P78" i="13"/>
  <c r="N78" i="13"/>
  <c r="Q78" i="13"/>
  <c r="B77" i="13"/>
  <c r="C77" i="13"/>
  <c r="Z77" i="13"/>
  <c r="E77" i="13"/>
  <c r="Y77" i="13"/>
  <c r="G77" i="13"/>
  <c r="K77" i="13"/>
  <c r="V77" i="13"/>
  <c r="W77" i="13"/>
  <c r="T77" i="13"/>
  <c r="O77" i="13"/>
  <c r="M77" i="13"/>
  <c r="P77" i="13"/>
  <c r="N77" i="13"/>
  <c r="Q77" i="13"/>
  <c r="B76" i="13"/>
  <c r="C76" i="13"/>
  <c r="Z76" i="13"/>
  <c r="E76" i="13"/>
  <c r="Y76" i="13"/>
  <c r="G76" i="13"/>
  <c r="K76" i="13"/>
  <c r="V76" i="13"/>
  <c r="W76" i="13"/>
  <c r="T76" i="13"/>
  <c r="O76" i="13"/>
  <c r="M76" i="13"/>
  <c r="P76" i="13"/>
  <c r="N76" i="13"/>
  <c r="Q76" i="13"/>
  <c r="B75" i="13"/>
  <c r="C75" i="13"/>
  <c r="Z75" i="13"/>
  <c r="E75" i="13"/>
  <c r="Y75" i="13"/>
  <c r="G75" i="13"/>
  <c r="K75" i="13"/>
  <c r="V75" i="13"/>
  <c r="W75" i="13"/>
  <c r="T75" i="13"/>
  <c r="O75" i="13"/>
  <c r="M75" i="13"/>
  <c r="P75" i="13"/>
  <c r="N75" i="13"/>
  <c r="Q75" i="13"/>
  <c r="B74" i="13"/>
  <c r="C74" i="13"/>
  <c r="Z74" i="13"/>
  <c r="E74" i="13"/>
  <c r="Y74" i="13"/>
  <c r="G74" i="13"/>
  <c r="K74" i="13"/>
  <c r="V74" i="13"/>
  <c r="W74" i="13"/>
  <c r="T74" i="13"/>
  <c r="O74" i="13"/>
  <c r="M74" i="13"/>
  <c r="P74" i="13"/>
  <c r="N74" i="13"/>
  <c r="Q74" i="13"/>
  <c r="D73" i="13"/>
  <c r="D72" i="13"/>
  <c r="D71" i="13"/>
  <c r="D70" i="13"/>
  <c r="D69" i="13"/>
  <c r="D68" i="13"/>
  <c r="A68" i="13"/>
  <c r="A69" i="13"/>
  <c r="A70" i="13"/>
  <c r="A71" i="13"/>
  <c r="A72" i="13"/>
  <c r="A73" i="13"/>
  <c r="B73" i="13"/>
  <c r="C73" i="13"/>
  <c r="Z73" i="13"/>
  <c r="E73" i="13"/>
  <c r="Y73" i="13"/>
  <c r="G73" i="13"/>
  <c r="K73" i="13"/>
  <c r="V73" i="13"/>
  <c r="W73" i="13"/>
  <c r="T73" i="13"/>
  <c r="O73" i="13"/>
  <c r="M73" i="13"/>
  <c r="P73" i="13"/>
  <c r="N73" i="13"/>
  <c r="Q73" i="13"/>
  <c r="B72" i="13"/>
  <c r="C72" i="13"/>
  <c r="Z72" i="13"/>
  <c r="E72" i="13"/>
  <c r="Y72" i="13"/>
  <c r="G72" i="13"/>
  <c r="K72" i="13"/>
  <c r="V72" i="13"/>
  <c r="W72" i="13"/>
  <c r="T72" i="13"/>
  <c r="O72" i="13"/>
  <c r="M72" i="13"/>
  <c r="P72" i="13"/>
  <c r="N72" i="13"/>
  <c r="Q72" i="13"/>
  <c r="B71" i="13"/>
  <c r="C71" i="13"/>
  <c r="Z71" i="13"/>
  <c r="E71" i="13"/>
  <c r="Y71" i="13"/>
  <c r="G71" i="13"/>
  <c r="K71" i="13"/>
  <c r="V71" i="13"/>
  <c r="W71" i="13"/>
  <c r="T71" i="13"/>
  <c r="O71" i="13"/>
  <c r="M71" i="13"/>
  <c r="P71" i="13"/>
  <c r="N71" i="13"/>
  <c r="Q71" i="13"/>
  <c r="B70" i="13"/>
  <c r="C70" i="13"/>
  <c r="Z70" i="13"/>
  <c r="E70" i="13"/>
  <c r="Y70" i="13"/>
  <c r="G70" i="13"/>
  <c r="K70" i="13"/>
  <c r="V70" i="13"/>
  <c r="W70" i="13"/>
  <c r="T70" i="13"/>
  <c r="O70" i="13"/>
  <c r="M70" i="13"/>
  <c r="P70" i="13"/>
  <c r="N70" i="13"/>
  <c r="Q70" i="13"/>
  <c r="B69" i="13"/>
  <c r="C69" i="13"/>
  <c r="Z69" i="13"/>
  <c r="E69" i="13"/>
  <c r="Y69" i="13"/>
  <c r="G69" i="13"/>
  <c r="K69" i="13"/>
  <c r="V69" i="13"/>
  <c r="W69" i="13"/>
  <c r="T69" i="13"/>
  <c r="O69" i="13"/>
  <c r="M69" i="13"/>
  <c r="P69" i="13"/>
  <c r="N69" i="13"/>
  <c r="Q69" i="13"/>
  <c r="B68" i="13"/>
  <c r="C68" i="13"/>
  <c r="Z68" i="13"/>
  <c r="E68" i="13"/>
  <c r="Y68" i="13"/>
  <c r="G68" i="13"/>
  <c r="K68" i="13"/>
  <c r="V68" i="13"/>
  <c r="W68" i="13"/>
  <c r="T68" i="13"/>
  <c r="O68" i="13"/>
  <c r="M68" i="13"/>
  <c r="P68" i="13"/>
  <c r="N68" i="13"/>
  <c r="Q68" i="13"/>
  <c r="D67" i="13"/>
  <c r="D66" i="13"/>
  <c r="D65" i="13"/>
  <c r="D64" i="13"/>
  <c r="D63" i="13"/>
  <c r="D62" i="13"/>
  <c r="A62" i="13"/>
  <c r="A63" i="13"/>
  <c r="A64" i="13"/>
  <c r="A65" i="13"/>
  <c r="A66" i="13"/>
  <c r="A67" i="13"/>
  <c r="B67" i="13"/>
  <c r="C67" i="13"/>
  <c r="Z67" i="13"/>
  <c r="E67" i="13"/>
  <c r="Y67" i="13"/>
  <c r="G67" i="13"/>
  <c r="K67" i="13"/>
  <c r="V67" i="13"/>
  <c r="W67" i="13"/>
  <c r="T67" i="13"/>
  <c r="O67" i="13"/>
  <c r="M67" i="13"/>
  <c r="P67" i="13"/>
  <c r="N67" i="13"/>
  <c r="Q67" i="13"/>
  <c r="B66" i="13"/>
  <c r="C66" i="13"/>
  <c r="Z66" i="13"/>
  <c r="E66" i="13"/>
  <c r="Y66" i="13"/>
  <c r="G66" i="13"/>
  <c r="K66" i="13"/>
  <c r="V66" i="13"/>
  <c r="W66" i="13"/>
  <c r="T66" i="13"/>
  <c r="O66" i="13"/>
  <c r="M66" i="13"/>
  <c r="P66" i="13"/>
  <c r="N66" i="13"/>
  <c r="Q66" i="13"/>
  <c r="B65" i="13"/>
  <c r="C65" i="13"/>
  <c r="Z65" i="13"/>
  <c r="E65" i="13"/>
  <c r="Y65" i="13"/>
  <c r="G65" i="13"/>
  <c r="K65" i="13"/>
  <c r="V65" i="13"/>
  <c r="W65" i="13"/>
  <c r="T65" i="13"/>
  <c r="O65" i="13"/>
  <c r="M65" i="13"/>
  <c r="P65" i="13"/>
  <c r="N65" i="13"/>
  <c r="Q65" i="13"/>
  <c r="B64" i="13"/>
  <c r="C64" i="13"/>
  <c r="Z64" i="13"/>
  <c r="E64" i="13"/>
  <c r="Y64" i="13"/>
  <c r="G64" i="13"/>
  <c r="K64" i="13"/>
  <c r="V64" i="13"/>
  <c r="W64" i="13"/>
  <c r="T64" i="13"/>
  <c r="O64" i="13"/>
  <c r="M64" i="13"/>
  <c r="P64" i="13"/>
  <c r="N64" i="13"/>
  <c r="Q64" i="13"/>
  <c r="B63" i="13"/>
  <c r="C63" i="13"/>
  <c r="Z63" i="13"/>
  <c r="E63" i="13"/>
  <c r="Y63" i="13"/>
  <c r="G63" i="13"/>
  <c r="K63" i="13"/>
  <c r="V63" i="13"/>
  <c r="W63" i="13"/>
  <c r="T63" i="13"/>
  <c r="O63" i="13"/>
  <c r="M63" i="13"/>
  <c r="P63" i="13"/>
  <c r="N63" i="13"/>
  <c r="Q63" i="13"/>
  <c r="B62" i="13"/>
  <c r="C62" i="13"/>
  <c r="Z62" i="13"/>
  <c r="E62" i="13"/>
  <c r="Y62" i="13"/>
  <c r="G62" i="13"/>
  <c r="K62" i="13"/>
  <c r="V62" i="13"/>
  <c r="W62" i="13"/>
  <c r="T62" i="13"/>
  <c r="O62" i="13"/>
  <c r="M62" i="13"/>
  <c r="P62" i="13"/>
  <c r="N62" i="13"/>
  <c r="Q62" i="13"/>
  <c r="D61" i="13"/>
  <c r="D60" i="13"/>
  <c r="D59" i="13"/>
  <c r="D58" i="13"/>
  <c r="D57" i="13"/>
  <c r="D56" i="13"/>
  <c r="A56" i="13"/>
  <c r="A57" i="13"/>
  <c r="A58" i="13"/>
  <c r="A59" i="13"/>
  <c r="A60" i="13"/>
  <c r="A61" i="13"/>
  <c r="B61" i="13"/>
  <c r="C61" i="13"/>
  <c r="Z61" i="13"/>
  <c r="E61" i="13"/>
  <c r="Y61" i="13"/>
  <c r="G61" i="13"/>
  <c r="K61" i="13"/>
  <c r="V61" i="13"/>
  <c r="W61" i="13"/>
  <c r="T61" i="13"/>
  <c r="O61" i="13"/>
  <c r="M61" i="13"/>
  <c r="P61" i="13"/>
  <c r="N61" i="13"/>
  <c r="Q61" i="13"/>
  <c r="B60" i="13"/>
  <c r="C60" i="13"/>
  <c r="Z60" i="13"/>
  <c r="E60" i="13"/>
  <c r="Y60" i="13"/>
  <c r="G60" i="13"/>
  <c r="K60" i="13"/>
  <c r="V60" i="13"/>
  <c r="W60" i="13"/>
  <c r="T60" i="13"/>
  <c r="O60" i="13"/>
  <c r="M60" i="13"/>
  <c r="P60" i="13"/>
  <c r="N60" i="13"/>
  <c r="Q60" i="13"/>
  <c r="B59" i="13"/>
  <c r="C59" i="13"/>
  <c r="Z59" i="13"/>
  <c r="E59" i="13"/>
  <c r="Y59" i="13"/>
  <c r="G59" i="13"/>
  <c r="K59" i="13"/>
  <c r="V59" i="13"/>
  <c r="W59" i="13"/>
  <c r="T59" i="13"/>
  <c r="O59" i="13"/>
  <c r="M59" i="13"/>
  <c r="P59" i="13"/>
  <c r="N59" i="13"/>
  <c r="Q59" i="13"/>
  <c r="B58" i="13"/>
  <c r="C58" i="13"/>
  <c r="Z58" i="13"/>
  <c r="E58" i="13"/>
  <c r="Y58" i="13"/>
  <c r="G58" i="13"/>
  <c r="K58" i="13"/>
  <c r="V58" i="13"/>
  <c r="W58" i="13"/>
  <c r="T58" i="13"/>
  <c r="O58" i="13"/>
  <c r="M58" i="13"/>
  <c r="P58" i="13"/>
  <c r="N58" i="13"/>
  <c r="Q58" i="13"/>
  <c r="B57" i="13"/>
  <c r="C57" i="13"/>
  <c r="Z57" i="13"/>
  <c r="E57" i="13"/>
  <c r="Y57" i="13"/>
  <c r="G57" i="13"/>
  <c r="K57" i="13"/>
  <c r="V57" i="13"/>
  <c r="W57" i="13"/>
  <c r="T57" i="13"/>
  <c r="O57" i="13"/>
  <c r="M57" i="13"/>
  <c r="P57" i="13"/>
  <c r="N57" i="13"/>
  <c r="Q57" i="13"/>
  <c r="B56" i="13"/>
  <c r="C56" i="13"/>
  <c r="Z56" i="13"/>
  <c r="E56" i="13"/>
  <c r="Y56" i="13"/>
  <c r="G56" i="13"/>
  <c r="K56" i="13"/>
  <c r="V56" i="13"/>
  <c r="W56" i="13"/>
  <c r="T56" i="13"/>
  <c r="O56" i="13"/>
  <c r="M56" i="13"/>
  <c r="P56" i="13"/>
  <c r="N56" i="13"/>
  <c r="Q56" i="13"/>
  <c r="D55" i="13"/>
  <c r="D54" i="13"/>
  <c r="D53" i="13"/>
  <c r="D52" i="13"/>
  <c r="D51" i="13"/>
  <c r="D50" i="13"/>
  <c r="A50" i="13"/>
  <c r="A51" i="13"/>
  <c r="A52" i="13"/>
  <c r="A53" i="13"/>
  <c r="A54" i="13"/>
  <c r="A55" i="13"/>
  <c r="B55" i="13"/>
  <c r="C55" i="13"/>
  <c r="Z55" i="13"/>
  <c r="E55" i="13"/>
  <c r="Y55" i="13"/>
  <c r="G55" i="13"/>
  <c r="K55" i="13"/>
  <c r="V55" i="13"/>
  <c r="W55" i="13"/>
  <c r="T55" i="13"/>
  <c r="O55" i="13"/>
  <c r="M55" i="13"/>
  <c r="P55" i="13"/>
  <c r="N55" i="13"/>
  <c r="Q55" i="13"/>
  <c r="B54" i="13"/>
  <c r="C54" i="13"/>
  <c r="Z54" i="13"/>
  <c r="E54" i="13"/>
  <c r="Y54" i="13"/>
  <c r="G54" i="13"/>
  <c r="K54" i="13"/>
  <c r="V54" i="13"/>
  <c r="W54" i="13"/>
  <c r="T54" i="13"/>
  <c r="O54" i="13"/>
  <c r="M54" i="13"/>
  <c r="P54" i="13"/>
  <c r="N54" i="13"/>
  <c r="Q54" i="13"/>
  <c r="B53" i="13"/>
  <c r="C53" i="13"/>
  <c r="Z53" i="13"/>
  <c r="E53" i="13"/>
  <c r="Y53" i="13"/>
  <c r="G53" i="13"/>
  <c r="K53" i="13"/>
  <c r="V53" i="13"/>
  <c r="W53" i="13"/>
  <c r="T53" i="13"/>
  <c r="O53" i="13"/>
  <c r="M53" i="13"/>
  <c r="P53" i="13"/>
  <c r="N53" i="13"/>
  <c r="Q53" i="13"/>
  <c r="B52" i="13"/>
  <c r="C52" i="13"/>
  <c r="Z52" i="13"/>
  <c r="E52" i="13"/>
  <c r="Y52" i="13"/>
  <c r="G52" i="13"/>
  <c r="K52" i="13"/>
  <c r="V52" i="13"/>
  <c r="W52" i="13"/>
  <c r="T52" i="13"/>
  <c r="O52" i="13"/>
  <c r="M52" i="13"/>
  <c r="P52" i="13"/>
  <c r="N52" i="13"/>
  <c r="Q52" i="13"/>
  <c r="B51" i="13"/>
  <c r="C51" i="13"/>
  <c r="Z51" i="13"/>
  <c r="E51" i="13"/>
  <c r="Y51" i="13"/>
  <c r="G51" i="13"/>
  <c r="K51" i="13"/>
  <c r="V51" i="13"/>
  <c r="W51" i="13"/>
  <c r="T51" i="13"/>
  <c r="O51" i="13"/>
  <c r="M51" i="13"/>
  <c r="P51" i="13"/>
  <c r="N51" i="13"/>
  <c r="Q51" i="13"/>
  <c r="B50" i="13"/>
  <c r="C50" i="13"/>
  <c r="Z50" i="13"/>
  <c r="E50" i="13"/>
  <c r="Y50" i="13"/>
  <c r="G50" i="13"/>
  <c r="K50" i="13"/>
  <c r="V50" i="13"/>
  <c r="W50" i="13"/>
  <c r="T50" i="13"/>
  <c r="O50" i="13"/>
  <c r="M50" i="13"/>
  <c r="P50" i="13"/>
  <c r="N50" i="13"/>
  <c r="Q50" i="13"/>
  <c r="D49" i="13"/>
  <c r="D48" i="13"/>
  <c r="D47" i="13"/>
  <c r="D46" i="13"/>
  <c r="D45" i="13"/>
  <c r="D44" i="13"/>
  <c r="A44" i="13"/>
  <c r="A45" i="13"/>
  <c r="A46" i="13"/>
  <c r="A47" i="13"/>
  <c r="A48" i="13"/>
  <c r="A49" i="13"/>
  <c r="B49" i="13"/>
  <c r="C49" i="13"/>
  <c r="Z49" i="13"/>
  <c r="E49" i="13"/>
  <c r="Y49" i="13"/>
  <c r="G49" i="13"/>
  <c r="K49" i="13"/>
  <c r="V49" i="13"/>
  <c r="W49" i="13"/>
  <c r="T49" i="13"/>
  <c r="O49" i="13"/>
  <c r="M49" i="13"/>
  <c r="P49" i="13"/>
  <c r="N49" i="13"/>
  <c r="Q49" i="13"/>
  <c r="B48" i="13"/>
  <c r="C48" i="13"/>
  <c r="Z48" i="13"/>
  <c r="E48" i="13"/>
  <c r="Y48" i="13"/>
  <c r="G48" i="13"/>
  <c r="K48" i="13"/>
  <c r="V48" i="13"/>
  <c r="W48" i="13"/>
  <c r="T48" i="13"/>
  <c r="O48" i="13"/>
  <c r="M48" i="13"/>
  <c r="P48" i="13"/>
  <c r="N48" i="13"/>
  <c r="Q48" i="13"/>
  <c r="B47" i="13"/>
  <c r="C47" i="13"/>
  <c r="Z47" i="13"/>
  <c r="E47" i="13"/>
  <c r="Y47" i="13"/>
  <c r="G47" i="13"/>
  <c r="K47" i="13"/>
  <c r="V47" i="13"/>
  <c r="W47" i="13"/>
  <c r="T47" i="13"/>
  <c r="O47" i="13"/>
  <c r="M47" i="13"/>
  <c r="P47" i="13"/>
  <c r="N47" i="13"/>
  <c r="Q47" i="13"/>
  <c r="B46" i="13"/>
  <c r="C46" i="13"/>
  <c r="Z46" i="13"/>
  <c r="E46" i="13"/>
  <c r="Y46" i="13"/>
  <c r="G46" i="13"/>
  <c r="K46" i="13"/>
  <c r="V46" i="13"/>
  <c r="W46" i="13"/>
  <c r="T46" i="13"/>
  <c r="O46" i="13"/>
  <c r="M46" i="13"/>
  <c r="P46" i="13"/>
  <c r="N46" i="13"/>
  <c r="Q46" i="13"/>
  <c r="B45" i="13"/>
  <c r="C45" i="13"/>
  <c r="Z45" i="13"/>
  <c r="E45" i="13"/>
  <c r="Y45" i="13"/>
  <c r="G45" i="13"/>
  <c r="K45" i="13"/>
  <c r="V45" i="13"/>
  <c r="W45" i="13"/>
  <c r="T45" i="13"/>
  <c r="O45" i="13"/>
  <c r="M45" i="13"/>
  <c r="P45" i="13"/>
  <c r="N45" i="13"/>
  <c r="Q45" i="13"/>
  <c r="B44" i="13"/>
  <c r="C44" i="13"/>
  <c r="Z44" i="13"/>
  <c r="E44" i="13"/>
  <c r="Y44" i="13"/>
  <c r="G44" i="13"/>
  <c r="K44" i="13"/>
  <c r="V44" i="13"/>
  <c r="W44" i="13"/>
  <c r="T44" i="13"/>
  <c r="O44" i="13"/>
  <c r="M44" i="13"/>
  <c r="P44" i="13"/>
  <c r="N44" i="13"/>
  <c r="Q44" i="13"/>
  <c r="D43" i="13"/>
  <c r="D42" i="13"/>
  <c r="D41" i="13"/>
  <c r="D40" i="13"/>
  <c r="D39" i="13"/>
  <c r="D38" i="13"/>
  <c r="A38" i="13"/>
  <c r="A39" i="13"/>
  <c r="A40" i="13"/>
  <c r="A41" i="13"/>
  <c r="A42" i="13"/>
  <c r="A43" i="13"/>
  <c r="B43" i="13"/>
  <c r="C43" i="13"/>
  <c r="Z43" i="13"/>
  <c r="E43" i="13"/>
  <c r="Y43" i="13"/>
  <c r="G43" i="13"/>
  <c r="K43" i="13"/>
  <c r="V43" i="13"/>
  <c r="W43" i="13"/>
  <c r="T43" i="13"/>
  <c r="O43" i="13"/>
  <c r="M43" i="13"/>
  <c r="P43" i="13"/>
  <c r="N43" i="13"/>
  <c r="Q43" i="13"/>
  <c r="B42" i="13"/>
  <c r="C42" i="13"/>
  <c r="Z42" i="13"/>
  <c r="E42" i="13"/>
  <c r="Y42" i="13"/>
  <c r="G42" i="13"/>
  <c r="K42" i="13"/>
  <c r="V42" i="13"/>
  <c r="W42" i="13"/>
  <c r="T42" i="13"/>
  <c r="O42" i="13"/>
  <c r="M42" i="13"/>
  <c r="P42" i="13"/>
  <c r="N42" i="13"/>
  <c r="Q42" i="13"/>
  <c r="B41" i="13"/>
  <c r="C41" i="13"/>
  <c r="Z41" i="13"/>
  <c r="E41" i="13"/>
  <c r="Y41" i="13"/>
  <c r="G41" i="13"/>
  <c r="K41" i="13"/>
  <c r="V41" i="13"/>
  <c r="W41" i="13"/>
  <c r="T41" i="13"/>
  <c r="O41" i="13"/>
  <c r="M41" i="13"/>
  <c r="P41" i="13"/>
  <c r="N41" i="13"/>
  <c r="Q41" i="13"/>
  <c r="B40" i="13"/>
  <c r="C40" i="13"/>
  <c r="Z40" i="13"/>
  <c r="E40" i="13"/>
  <c r="Y40" i="13"/>
  <c r="G40" i="13"/>
  <c r="K40" i="13"/>
  <c r="V40" i="13"/>
  <c r="W40" i="13"/>
  <c r="T40" i="13"/>
  <c r="O40" i="13"/>
  <c r="M40" i="13"/>
  <c r="P40" i="13"/>
  <c r="N40" i="13"/>
  <c r="Q40" i="13"/>
  <c r="B39" i="13"/>
  <c r="C39" i="13"/>
  <c r="Z39" i="13"/>
  <c r="E39" i="13"/>
  <c r="Y39" i="13"/>
  <c r="G39" i="13"/>
  <c r="K39" i="13"/>
  <c r="V39" i="13"/>
  <c r="W39" i="13"/>
  <c r="T39" i="13"/>
  <c r="O39" i="13"/>
  <c r="M39" i="13"/>
  <c r="P39" i="13"/>
  <c r="N39" i="13"/>
  <c r="Q39" i="13"/>
  <c r="B38" i="13"/>
  <c r="C38" i="13"/>
  <c r="Z38" i="13"/>
  <c r="E38" i="13"/>
  <c r="Y38" i="13"/>
  <c r="G38" i="13"/>
  <c r="K38" i="13"/>
  <c r="V38" i="13"/>
  <c r="W38" i="13"/>
  <c r="T38" i="13"/>
  <c r="O38" i="13"/>
  <c r="M38" i="13"/>
  <c r="P38" i="13"/>
  <c r="N38" i="13"/>
  <c r="Q38" i="13"/>
  <c r="D37" i="13"/>
  <c r="D36" i="13"/>
  <c r="D35" i="13"/>
  <c r="D34" i="13"/>
  <c r="D33" i="13"/>
  <c r="D32" i="13"/>
  <c r="A32" i="13"/>
  <c r="A33" i="13"/>
  <c r="A34" i="13"/>
  <c r="A35" i="13"/>
  <c r="A36" i="13"/>
  <c r="A37" i="13"/>
  <c r="B37" i="13"/>
  <c r="C37" i="13"/>
  <c r="Z37" i="13"/>
  <c r="E37" i="13"/>
  <c r="Y37" i="13"/>
  <c r="G37" i="13"/>
  <c r="K37" i="13"/>
  <c r="V37" i="13"/>
  <c r="W37" i="13"/>
  <c r="T37" i="13"/>
  <c r="O37" i="13"/>
  <c r="M37" i="13"/>
  <c r="P37" i="13"/>
  <c r="N37" i="13"/>
  <c r="Q37" i="13"/>
  <c r="B36" i="13"/>
  <c r="C36" i="13"/>
  <c r="Z36" i="13"/>
  <c r="E36" i="13"/>
  <c r="Y36" i="13"/>
  <c r="G36" i="13"/>
  <c r="K36" i="13"/>
  <c r="V36" i="13"/>
  <c r="W36" i="13"/>
  <c r="T36" i="13"/>
  <c r="O36" i="13"/>
  <c r="M36" i="13"/>
  <c r="P36" i="13"/>
  <c r="N36" i="13"/>
  <c r="Q36" i="13"/>
  <c r="B35" i="13"/>
  <c r="C35" i="13"/>
  <c r="Z35" i="13"/>
  <c r="E35" i="13"/>
  <c r="Y35" i="13"/>
  <c r="G35" i="13"/>
  <c r="K35" i="13"/>
  <c r="V35" i="13"/>
  <c r="W35" i="13"/>
  <c r="T35" i="13"/>
  <c r="O35" i="13"/>
  <c r="M35" i="13"/>
  <c r="P35" i="13"/>
  <c r="N35" i="13"/>
  <c r="Q35" i="13"/>
  <c r="B34" i="13"/>
  <c r="C34" i="13"/>
  <c r="Z34" i="13"/>
  <c r="E34" i="13"/>
  <c r="Y34" i="13"/>
  <c r="G34" i="13"/>
  <c r="K34" i="13"/>
  <c r="V34" i="13"/>
  <c r="W34" i="13"/>
  <c r="T34" i="13"/>
  <c r="O34" i="13"/>
  <c r="M34" i="13"/>
  <c r="P34" i="13"/>
  <c r="N34" i="13"/>
  <c r="Q34" i="13"/>
  <c r="B33" i="13"/>
  <c r="C33" i="13"/>
  <c r="Z33" i="13"/>
  <c r="E33" i="13"/>
  <c r="Y33" i="13"/>
  <c r="G33" i="13"/>
  <c r="K33" i="13"/>
  <c r="V33" i="13"/>
  <c r="W33" i="13"/>
  <c r="T33" i="13"/>
  <c r="O33" i="13"/>
  <c r="M33" i="13"/>
  <c r="P33" i="13"/>
  <c r="N33" i="13"/>
  <c r="Q33" i="13"/>
  <c r="B32" i="13"/>
  <c r="C32" i="13"/>
  <c r="Z32" i="13"/>
  <c r="E32" i="13"/>
  <c r="Y32" i="13"/>
  <c r="G32" i="13"/>
  <c r="K32" i="13"/>
  <c r="V32" i="13"/>
  <c r="W32" i="13"/>
  <c r="T32" i="13"/>
  <c r="O32" i="13"/>
  <c r="M32" i="13"/>
  <c r="P32" i="13"/>
  <c r="N32" i="13"/>
  <c r="Q32" i="13"/>
  <c r="D31" i="13"/>
  <c r="D30" i="13"/>
  <c r="D29" i="13"/>
  <c r="D28" i="13"/>
  <c r="D27" i="13"/>
  <c r="D26" i="13"/>
  <c r="A26" i="13"/>
  <c r="A27" i="13"/>
  <c r="A28" i="13"/>
  <c r="A29" i="13"/>
  <c r="A30" i="13"/>
  <c r="A31" i="13"/>
  <c r="B31" i="13"/>
  <c r="C31" i="13"/>
  <c r="Z31" i="13"/>
  <c r="E31" i="13"/>
  <c r="Y31" i="13"/>
  <c r="G31" i="13"/>
  <c r="K31" i="13"/>
  <c r="V31" i="13"/>
  <c r="W31" i="13"/>
  <c r="T31" i="13"/>
  <c r="O31" i="13"/>
  <c r="M31" i="13"/>
  <c r="P31" i="13"/>
  <c r="N31" i="13"/>
  <c r="Q31" i="13"/>
  <c r="B30" i="13"/>
  <c r="C30" i="13"/>
  <c r="Z30" i="13"/>
  <c r="E30" i="13"/>
  <c r="Y30" i="13"/>
  <c r="G30" i="13"/>
  <c r="K30" i="13"/>
  <c r="V30" i="13"/>
  <c r="W30" i="13"/>
  <c r="T30" i="13"/>
  <c r="O30" i="13"/>
  <c r="M30" i="13"/>
  <c r="P30" i="13"/>
  <c r="N30" i="13"/>
  <c r="Q30" i="13"/>
  <c r="B29" i="13"/>
  <c r="C29" i="13"/>
  <c r="Z29" i="13"/>
  <c r="E29" i="13"/>
  <c r="Y29" i="13"/>
  <c r="G29" i="13"/>
  <c r="K29" i="13"/>
  <c r="V29" i="13"/>
  <c r="W29" i="13"/>
  <c r="T29" i="13"/>
  <c r="O29" i="13"/>
  <c r="M29" i="13"/>
  <c r="P29" i="13"/>
  <c r="N29" i="13"/>
  <c r="Q29" i="13"/>
  <c r="B28" i="13"/>
  <c r="C28" i="13"/>
  <c r="Z28" i="13"/>
  <c r="E28" i="13"/>
  <c r="Y28" i="13"/>
  <c r="G28" i="13"/>
  <c r="K28" i="13"/>
  <c r="V28" i="13"/>
  <c r="W28" i="13"/>
  <c r="T28" i="13"/>
  <c r="O28" i="13"/>
  <c r="M28" i="13"/>
  <c r="P28" i="13"/>
  <c r="N28" i="13"/>
  <c r="Q28" i="13"/>
  <c r="B27" i="13"/>
  <c r="C27" i="13"/>
  <c r="Z27" i="13"/>
  <c r="E27" i="13"/>
  <c r="Y27" i="13"/>
  <c r="G27" i="13"/>
  <c r="K27" i="13"/>
  <c r="V27" i="13"/>
  <c r="W27" i="13"/>
  <c r="T27" i="13"/>
  <c r="O27" i="13"/>
  <c r="M27" i="13"/>
  <c r="P27" i="13"/>
  <c r="N27" i="13"/>
  <c r="Q27" i="13"/>
  <c r="B26" i="13"/>
  <c r="C26" i="13"/>
  <c r="Z26" i="13"/>
  <c r="E26" i="13"/>
  <c r="Y26" i="13"/>
  <c r="G26" i="13"/>
  <c r="K26" i="13"/>
  <c r="V26" i="13"/>
  <c r="W26" i="13"/>
  <c r="T26" i="13"/>
  <c r="O26" i="13"/>
  <c r="M26" i="13"/>
  <c r="P26" i="13"/>
  <c r="N26" i="13"/>
  <c r="Q26" i="13"/>
  <c r="D25" i="13"/>
  <c r="D24" i="13"/>
  <c r="D23" i="13"/>
  <c r="D22" i="13"/>
  <c r="D21" i="13"/>
  <c r="D20" i="13"/>
  <c r="A20" i="13"/>
  <c r="A21" i="13"/>
  <c r="A22" i="13"/>
  <c r="A23" i="13"/>
  <c r="A24" i="13"/>
  <c r="A25" i="13"/>
  <c r="B25" i="13"/>
  <c r="C25" i="13"/>
  <c r="Z25" i="13"/>
  <c r="E25" i="13"/>
  <c r="Y25" i="13"/>
  <c r="G25" i="13"/>
  <c r="K25" i="13"/>
  <c r="V25" i="13"/>
  <c r="W25" i="13"/>
  <c r="T25" i="13"/>
  <c r="O25" i="13"/>
  <c r="M25" i="13"/>
  <c r="P25" i="13"/>
  <c r="N25" i="13"/>
  <c r="Q25" i="13"/>
  <c r="B24" i="13"/>
  <c r="C24" i="13"/>
  <c r="Z24" i="13"/>
  <c r="E24" i="13"/>
  <c r="Y24" i="13"/>
  <c r="G24" i="13"/>
  <c r="K24" i="13"/>
  <c r="V24" i="13"/>
  <c r="W24" i="13"/>
  <c r="T24" i="13"/>
  <c r="O24" i="13"/>
  <c r="M24" i="13"/>
  <c r="P24" i="13"/>
  <c r="N24" i="13"/>
  <c r="Q24" i="13"/>
  <c r="B23" i="13"/>
  <c r="C23" i="13"/>
  <c r="Z23" i="13"/>
  <c r="E23" i="13"/>
  <c r="Y23" i="13"/>
  <c r="G23" i="13"/>
  <c r="K23" i="13"/>
  <c r="V23" i="13"/>
  <c r="W23" i="13"/>
  <c r="T23" i="13"/>
  <c r="O23" i="13"/>
  <c r="M23" i="13"/>
  <c r="P23" i="13"/>
  <c r="N23" i="13"/>
  <c r="Q23" i="13"/>
  <c r="B22" i="13"/>
  <c r="C22" i="13"/>
  <c r="Z22" i="13"/>
  <c r="E22" i="13"/>
  <c r="Y22" i="13"/>
  <c r="G22" i="13"/>
  <c r="K22" i="13"/>
  <c r="V22" i="13"/>
  <c r="W22" i="13"/>
  <c r="T22" i="13"/>
  <c r="O22" i="13"/>
  <c r="M22" i="13"/>
  <c r="P22" i="13"/>
  <c r="N22" i="13"/>
  <c r="Q22" i="13"/>
  <c r="B21" i="13"/>
  <c r="C21" i="13"/>
  <c r="Z21" i="13"/>
  <c r="E21" i="13"/>
  <c r="Y21" i="13"/>
  <c r="G21" i="13"/>
  <c r="K21" i="13"/>
  <c r="V21" i="13"/>
  <c r="W21" i="13"/>
  <c r="T21" i="13"/>
  <c r="O21" i="13"/>
  <c r="M21" i="13"/>
  <c r="P21" i="13"/>
  <c r="N21" i="13"/>
  <c r="Q21" i="13"/>
  <c r="B20" i="13"/>
  <c r="C20" i="13"/>
  <c r="Z20" i="13"/>
  <c r="E20" i="13"/>
  <c r="Y20" i="13"/>
  <c r="G20" i="13"/>
  <c r="K20" i="13"/>
  <c r="V20" i="13"/>
  <c r="W20" i="13"/>
  <c r="T20" i="13"/>
  <c r="O20" i="13"/>
  <c r="M20" i="13"/>
  <c r="P20" i="13"/>
  <c r="N20" i="13"/>
  <c r="Q20" i="13"/>
  <c r="D19" i="13"/>
  <c r="D18" i="13"/>
  <c r="D17" i="13"/>
  <c r="D16" i="13"/>
  <c r="D15" i="13"/>
  <c r="D14" i="13"/>
  <c r="A14" i="13"/>
  <c r="A15" i="13"/>
  <c r="A16" i="13"/>
  <c r="A17" i="13"/>
  <c r="A18" i="13"/>
  <c r="A19" i="13"/>
  <c r="B19" i="13"/>
  <c r="C19" i="13"/>
  <c r="Z19" i="13"/>
  <c r="E19" i="13"/>
  <c r="Y19" i="13"/>
  <c r="G19" i="13"/>
  <c r="K19" i="13"/>
  <c r="V19" i="13"/>
  <c r="W19" i="13"/>
  <c r="T19" i="13"/>
  <c r="O19" i="13"/>
  <c r="M19" i="13"/>
  <c r="P19" i="13"/>
  <c r="N19" i="13"/>
  <c r="Q19" i="13"/>
  <c r="B18" i="13"/>
  <c r="C18" i="13"/>
  <c r="Z18" i="13"/>
  <c r="E18" i="13"/>
  <c r="Y18" i="13"/>
  <c r="G18" i="13"/>
  <c r="K18" i="13"/>
  <c r="V18" i="13"/>
  <c r="W18" i="13"/>
  <c r="T18" i="13"/>
  <c r="O18" i="13"/>
  <c r="M18" i="13"/>
  <c r="P18" i="13"/>
  <c r="N18" i="13"/>
  <c r="Q18" i="13"/>
  <c r="B17" i="13"/>
  <c r="C17" i="13"/>
  <c r="Z17" i="13"/>
  <c r="E17" i="13"/>
  <c r="Y17" i="13"/>
  <c r="G17" i="13"/>
  <c r="K17" i="13"/>
  <c r="V17" i="13"/>
  <c r="W17" i="13"/>
  <c r="T17" i="13"/>
  <c r="O17" i="13"/>
  <c r="M17" i="13"/>
  <c r="P17" i="13"/>
  <c r="N17" i="13"/>
  <c r="Q17" i="13"/>
  <c r="B16" i="13"/>
  <c r="C16" i="13"/>
  <c r="Z16" i="13"/>
  <c r="E16" i="13"/>
  <c r="Y16" i="13"/>
  <c r="G16" i="13"/>
  <c r="K16" i="13"/>
  <c r="V16" i="13"/>
  <c r="W16" i="13"/>
  <c r="T16" i="13"/>
  <c r="O16" i="13"/>
  <c r="M16" i="13"/>
  <c r="P16" i="13"/>
  <c r="N16" i="13"/>
  <c r="Q16" i="13"/>
  <c r="B15" i="13"/>
  <c r="C15" i="13"/>
  <c r="Z15" i="13"/>
  <c r="E15" i="13"/>
  <c r="Y15" i="13"/>
  <c r="G15" i="13"/>
  <c r="K15" i="13"/>
  <c r="V15" i="13"/>
  <c r="W15" i="13"/>
  <c r="T15" i="13"/>
  <c r="O15" i="13"/>
  <c r="M15" i="13"/>
  <c r="P15" i="13"/>
  <c r="N15" i="13"/>
  <c r="Q15" i="13"/>
  <c r="B14" i="13"/>
  <c r="C14" i="13"/>
  <c r="Z14" i="13"/>
  <c r="E14" i="13"/>
  <c r="Y14" i="13"/>
  <c r="G14" i="13"/>
  <c r="K14" i="13"/>
  <c r="V14" i="13"/>
  <c r="W14" i="13"/>
  <c r="T14" i="13"/>
  <c r="O14" i="13"/>
  <c r="M14" i="13"/>
  <c r="P14" i="13"/>
  <c r="N14" i="13"/>
  <c r="Q14" i="13"/>
  <c r="D13" i="13"/>
  <c r="D12" i="13"/>
  <c r="D11" i="13"/>
  <c r="D10" i="13"/>
  <c r="D9" i="13"/>
  <c r="D8" i="13"/>
  <c r="A8" i="13"/>
  <c r="A9" i="13"/>
  <c r="A10" i="13"/>
  <c r="A11" i="13"/>
  <c r="A12" i="13"/>
  <c r="A13" i="13"/>
  <c r="B13" i="13"/>
  <c r="C13" i="13"/>
  <c r="Z13" i="13"/>
  <c r="E13" i="13"/>
  <c r="Y13" i="13"/>
  <c r="G13" i="13"/>
  <c r="K13" i="13"/>
  <c r="V13" i="13"/>
  <c r="W13" i="13"/>
  <c r="T13" i="13"/>
  <c r="O13" i="13"/>
  <c r="M13" i="13"/>
  <c r="P13" i="13"/>
  <c r="N13" i="13"/>
  <c r="Q13" i="13"/>
  <c r="B12" i="13"/>
  <c r="C12" i="13"/>
  <c r="Z12" i="13"/>
  <c r="E12" i="13"/>
  <c r="Y12" i="13"/>
  <c r="G12" i="13"/>
  <c r="K12" i="13"/>
  <c r="V12" i="13"/>
  <c r="W12" i="13"/>
  <c r="T12" i="13"/>
  <c r="O12" i="13"/>
  <c r="M12" i="13"/>
  <c r="P12" i="13"/>
  <c r="N12" i="13"/>
  <c r="Q12" i="13"/>
  <c r="B11" i="13"/>
  <c r="C11" i="13"/>
  <c r="Z11" i="13"/>
  <c r="E11" i="13"/>
  <c r="Y11" i="13"/>
  <c r="G11" i="13"/>
  <c r="K11" i="13"/>
  <c r="V11" i="13"/>
  <c r="W11" i="13"/>
  <c r="T11" i="13"/>
  <c r="O11" i="13"/>
  <c r="M11" i="13"/>
  <c r="P11" i="13"/>
  <c r="N11" i="13"/>
  <c r="Q11" i="13"/>
  <c r="B10" i="13"/>
  <c r="C10" i="13"/>
  <c r="Z10" i="13"/>
  <c r="E10" i="13"/>
  <c r="Y10" i="13"/>
  <c r="G10" i="13"/>
  <c r="K10" i="13"/>
  <c r="V10" i="13"/>
  <c r="W10" i="13"/>
  <c r="T10" i="13"/>
  <c r="O10" i="13"/>
  <c r="M10" i="13"/>
  <c r="P10" i="13"/>
  <c r="N10" i="13"/>
  <c r="Q10" i="13"/>
  <c r="B9" i="13"/>
  <c r="C9" i="13"/>
  <c r="Z9" i="13"/>
  <c r="E9" i="13"/>
  <c r="Y9" i="13"/>
  <c r="G9" i="13"/>
  <c r="K9" i="13"/>
  <c r="V9" i="13"/>
  <c r="W9" i="13"/>
  <c r="T9" i="13"/>
  <c r="O9" i="13"/>
  <c r="M9" i="13"/>
  <c r="P9" i="13"/>
  <c r="N9" i="13"/>
  <c r="Q9" i="13"/>
  <c r="B8" i="13"/>
  <c r="C8" i="13"/>
  <c r="Z8" i="13"/>
  <c r="E8" i="13"/>
  <c r="Y8" i="13"/>
  <c r="G8" i="13"/>
  <c r="K8" i="13"/>
  <c r="V8" i="13"/>
  <c r="W8" i="13"/>
  <c r="T8" i="13"/>
  <c r="O8" i="13"/>
  <c r="M8" i="13"/>
  <c r="P8" i="13"/>
  <c r="N8" i="13"/>
  <c r="Q8" i="13"/>
  <c r="D7" i="13"/>
  <c r="D6" i="13"/>
  <c r="D5" i="13"/>
  <c r="D4" i="13"/>
  <c r="D3" i="13"/>
  <c r="D2" i="13"/>
  <c r="A2" i="13"/>
  <c r="A3" i="13"/>
  <c r="A4" i="13"/>
  <c r="A5" i="13"/>
  <c r="A6" i="13"/>
  <c r="A7" i="13"/>
  <c r="B7" i="13"/>
  <c r="C7" i="13"/>
  <c r="Z7" i="13"/>
  <c r="E7" i="13"/>
  <c r="Y7" i="13"/>
  <c r="G7" i="13"/>
  <c r="K7" i="13"/>
  <c r="V7" i="13"/>
  <c r="W7" i="13"/>
  <c r="T7" i="13"/>
  <c r="O7" i="13"/>
  <c r="M7" i="13"/>
  <c r="P7" i="13"/>
  <c r="N7" i="13"/>
  <c r="Q7" i="13"/>
  <c r="B6" i="13"/>
  <c r="C6" i="13"/>
  <c r="Z6" i="13"/>
  <c r="E6" i="13"/>
  <c r="Y6" i="13"/>
  <c r="G6" i="13"/>
  <c r="K6" i="13"/>
  <c r="V6" i="13"/>
  <c r="W6" i="13"/>
  <c r="T6" i="13"/>
  <c r="O6" i="13"/>
  <c r="M6" i="13"/>
  <c r="P6" i="13"/>
  <c r="N6" i="13"/>
  <c r="Q6" i="13"/>
  <c r="B5" i="13"/>
  <c r="C5" i="13"/>
  <c r="Z5" i="13"/>
  <c r="E5" i="13"/>
  <c r="Y5" i="13"/>
  <c r="G5" i="13"/>
  <c r="K5" i="13"/>
  <c r="V5" i="13"/>
  <c r="W5" i="13"/>
  <c r="T5" i="13"/>
  <c r="O5" i="13"/>
  <c r="M5" i="13"/>
  <c r="P5" i="13"/>
  <c r="N5" i="13"/>
  <c r="Q5" i="13"/>
  <c r="B4" i="13"/>
  <c r="C4" i="13"/>
  <c r="Z4" i="13"/>
  <c r="E4" i="13"/>
  <c r="Y4" i="13"/>
  <c r="G4" i="13"/>
  <c r="K4" i="13"/>
  <c r="V4" i="13"/>
  <c r="W4" i="13"/>
  <c r="T4" i="13"/>
  <c r="O4" i="13"/>
  <c r="M4" i="13"/>
  <c r="P4" i="13"/>
  <c r="N4" i="13"/>
  <c r="Q4" i="13"/>
  <c r="B3" i="13"/>
  <c r="C3" i="13"/>
  <c r="Z3" i="13"/>
  <c r="E3" i="13"/>
  <c r="Y3" i="13"/>
  <c r="G3" i="13"/>
  <c r="K3" i="13"/>
  <c r="V3" i="13"/>
  <c r="W3" i="13"/>
  <c r="T3" i="13"/>
  <c r="O3" i="13"/>
  <c r="M3" i="13"/>
  <c r="P3" i="13"/>
  <c r="N3" i="13"/>
  <c r="Q3" i="13"/>
  <c r="B2" i="13"/>
  <c r="C2" i="13"/>
  <c r="Z2" i="13"/>
  <c r="E2" i="13"/>
  <c r="Y2" i="13"/>
  <c r="G2" i="13"/>
  <c r="K2" i="13"/>
  <c r="V2" i="13"/>
  <c r="W2" i="13"/>
  <c r="T2" i="13"/>
  <c r="O2" i="13"/>
  <c r="M2" i="13"/>
  <c r="P2" i="13"/>
  <c r="N2" i="13"/>
  <c r="Q2" i="13"/>
  <c r="A2" i="15"/>
  <c r="B20" i="1"/>
  <c r="L55" i="17"/>
  <c r="E55" i="17"/>
  <c r="D55" i="17"/>
  <c r="L54" i="17"/>
  <c r="E54" i="17"/>
  <c r="D54" i="17"/>
  <c r="L53" i="17"/>
  <c r="E53" i="17"/>
  <c r="D53" i="17"/>
  <c r="L52" i="17"/>
  <c r="E52" i="17"/>
  <c r="D52" i="17"/>
  <c r="L51" i="17"/>
  <c r="E51" i="17"/>
  <c r="D51" i="17"/>
  <c r="L50" i="17"/>
  <c r="E50" i="17"/>
  <c r="D50" i="17"/>
  <c r="B21" i="1"/>
  <c r="B22" i="1"/>
  <c r="B23" i="1"/>
  <c r="B24" i="1"/>
  <c r="B25" i="1"/>
  <c r="G34" i="12"/>
  <c r="A50" i="17"/>
  <c r="Y55" i="17"/>
  <c r="J55" i="17"/>
  <c r="A51" i="17"/>
  <c r="A52" i="17"/>
  <c r="A53" i="17"/>
  <c r="A54" i="17"/>
  <c r="A55" i="17"/>
  <c r="Y53" i="17"/>
  <c r="J53" i="17"/>
  <c r="J50" i="17"/>
  <c r="Y51" i="17"/>
  <c r="J51" i="17"/>
  <c r="J54" i="17"/>
  <c r="Y54" i="17"/>
  <c r="J52" i="17"/>
  <c r="Y52" i="17"/>
  <c r="B55" i="17"/>
  <c r="B53" i="17"/>
  <c r="B51" i="17"/>
  <c r="B54" i="17"/>
  <c r="B52" i="17"/>
  <c r="B50" i="17"/>
  <c r="A1" i="2"/>
  <c r="C17" i="1"/>
  <c r="C15" i="1"/>
  <c r="C14" i="1"/>
  <c r="C8" i="1"/>
  <c r="C6" i="1"/>
  <c r="C5" i="1"/>
  <c r="C4" i="1"/>
  <c r="C3" i="1"/>
  <c r="A100" i="15"/>
  <c r="A99"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A73" i="15"/>
  <c r="A72" i="15"/>
  <c r="A71" i="15"/>
  <c r="A70" i="15"/>
  <c r="A69" i="15"/>
  <c r="A68" i="15"/>
  <c r="A67" i="15"/>
  <c r="A66" i="15"/>
  <c r="A65" i="15"/>
  <c r="A64" i="15"/>
  <c r="A63" i="15"/>
  <c r="A62" i="15"/>
  <c r="A61" i="15"/>
  <c r="A60" i="15"/>
  <c r="A59" i="15"/>
  <c r="A58" i="15"/>
  <c r="A57" i="15"/>
  <c r="A56" i="15"/>
  <c r="A55" i="15"/>
  <c r="A54" i="15"/>
  <c r="A53" i="15"/>
  <c r="A3" i="15"/>
  <c r="A4" i="15"/>
  <c r="A5" i="15"/>
  <c r="A6" i="15"/>
  <c r="A7" i="15"/>
  <c r="A8" i="15"/>
  <c r="A9" i="15"/>
  <c r="A10" i="15"/>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A46" i="15"/>
  <c r="A47" i="15"/>
  <c r="A48" i="15"/>
  <c r="A49" i="15"/>
  <c r="A50" i="15"/>
  <c r="A51" i="15"/>
  <c r="A52" i="15"/>
  <c r="G38" i="12"/>
  <c r="G33" i="12"/>
  <c r="G27" i="12"/>
  <c r="G26" i="12"/>
  <c r="G25" i="12"/>
  <c r="G24" i="12"/>
  <c r="G23" i="12"/>
  <c r="G22" i="12"/>
  <c r="G21" i="12"/>
  <c r="F20" i="12"/>
  <c r="G20" i="12"/>
  <c r="G19" i="12"/>
  <c r="F17" i="12"/>
  <c r="G17" i="12"/>
  <c r="G16" i="12"/>
  <c r="G8" i="12"/>
  <c r="G5" i="12"/>
  <c r="C50" i="17"/>
  <c r="C53" i="17"/>
  <c r="C51" i="17"/>
  <c r="C55" i="17"/>
  <c r="C52" i="17"/>
  <c r="M52" i="17"/>
  <c r="N52" i="17"/>
  <c r="C54" i="17"/>
  <c r="C9" i="17"/>
  <c r="Z55" i="17"/>
  <c r="G55" i="17"/>
  <c r="K55" i="17"/>
  <c r="V55" i="17"/>
  <c r="P55" i="17"/>
  <c r="O55" i="17"/>
  <c r="M55" i="17"/>
  <c r="N55" i="17"/>
  <c r="Z51" i="17"/>
  <c r="P51" i="17"/>
  <c r="O51" i="17"/>
  <c r="G51" i="17"/>
  <c r="K51" i="17"/>
  <c r="V51" i="17"/>
  <c r="M51" i="17"/>
  <c r="N51" i="17"/>
  <c r="G54" i="17"/>
  <c r="K54" i="17"/>
  <c r="V54" i="17"/>
  <c r="P54" i="17"/>
  <c r="Z54" i="17"/>
  <c r="O54" i="17"/>
  <c r="M54" i="17"/>
  <c r="N54" i="17"/>
  <c r="Z53" i="17"/>
  <c r="G53" i="17"/>
  <c r="K53" i="17"/>
  <c r="V53" i="17"/>
  <c r="P53" i="17"/>
  <c r="O53" i="17"/>
  <c r="M53" i="17"/>
  <c r="N53" i="17"/>
  <c r="G52" i="17"/>
  <c r="K52" i="17"/>
  <c r="V52" i="17"/>
  <c r="P52" i="17"/>
  <c r="O52" i="17"/>
  <c r="Z52" i="17"/>
  <c r="G50" i="17"/>
  <c r="K50" i="17"/>
  <c r="V50" i="17"/>
  <c r="P50" i="17"/>
  <c r="O50" i="17"/>
  <c r="Z50" i="17"/>
  <c r="M50" i="17"/>
  <c r="N50" i="17"/>
  <c r="Q51" i="17"/>
  <c r="Q52" i="17"/>
  <c r="Q54" i="17"/>
  <c r="Q53" i="17"/>
  <c r="Q55" i="17"/>
  <c r="Q50" i="17"/>
  <c r="T55" i="17"/>
  <c r="W55" i="17"/>
  <c r="W53" i="17"/>
  <c r="T53" i="17"/>
  <c r="W54" i="17"/>
  <c r="T54" i="17"/>
  <c r="W51" i="17"/>
  <c r="T51" i="17"/>
  <c r="T52" i="17"/>
  <c r="W52" i="17"/>
  <c r="T50" i="17"/>
  <c r="W50" i="17"/>
  <c r="Y50"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tc={BAC048B3-1431-480D-9B42-0918D64D0AA9}</author>
  </authors>
  <commentList>
    <comment ref="W1" authorId="0" shapeId="0" xr:uid="{BAC048B3-1431-480D-9B42-0918D64D0AA9}">
      <text>
        <t>[Threaded comment]
Your version of Excel allows you to read this threaded comment; however, any edits to it will get removed if the file is opened in a newer version of Excel. Learn more: https://go.microsoft.com/fwlink/?linkid=870924
Comment:
    was leklengte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tc={D26EEC5D-09B0-43CD-9A96-CA8B98CEC993}</author>
    <author>tc={86474498-7851-458A-8C58-58AEBE71475E}</author>
  </authors>
  <commentList>
    <comment ref="E12" authorId="0" shapeId="0" xr:uid="{D26EEC5D-09B0-43CD-9A96-CA8B98CEC993}">
      <text>
        <t>[Threaded comment]
Your version of Excel allows you to read this threaded comment; however, any edits to it will get removed if the file is opened in a newer version of Excel. Learn more: https://go.microsoft.com/fwlink/?linkid=870924
Comment:
    Nieuwe lijn. Deze afstand moet gebruikt gaan worden in de toetst van de kritieke pijplengte</t>
      </text>
    </comment>
    <comment ref="C20" authorId="1" shapeId="0" xr:uid="{86474498-7851-458A-8C58-58AEBE71475E}">
      <text>
        <t>[Threaded comment]
Your version of Excel allows you to read this threaded comment; however, any edits to it will get removed if the file is opened in a newer version of Excel. Learn more: https://go.microsoft.com/fwlink/?linkid=870924
Comment:
    Gekke naam voor in het script. Aanpassen naar P_S1, P_S2 en P_S3</t>
      </text>
    </comment>
  </commentList>
</comments>
</file>

<file path=xl/sharedStrings.xml><?xml version="1.0" encoding="utf-8"?>
<sst xmlns="http://schemas.openxmlformats.org/spreadsheetml/2006/main" count="531" uniqueCount="315">
  <si>
    <t>Alias</t>
  </si>
  <si>
    <t>Omschrijving</t>
  </si>
  <si>
    <t>Bron</t>
  </si>
  <si>
    <t>DOUBLE</t>
  </si>
  <si>
    <t>DATE</t>
  </si>
  <si>
    <t>INTEGER</t>
  </si>
  <si>
    <t>Uittredepunten</t>
  </si>
  <si>
    <t>Bodemhoogte</t>
  </si>
  <si>
    <t>Bodemhoogte [m t.o.v. NAP]</t>
  </si>
  <si>
    <t>AHN3 plus aanvullende metingen en aannames</t>
  </si>
  <si>
    <t>Maaiveldhoogte of slootbodemhoogte ter plaatse van uittredepunt</t>
  </si>
  <si>
    <t>Uniek nummer van het uittredepunt</t>
  </si>
  <si>
    <t>VakID</t>
  </si>
  <si>
    <t>Vaknaam</t>
  </si>
  <si>
    <t>Relatie met globale ondergrondschematisatie per vak</t>
  </si>
  <si>
    <t>TEKST</t>
  </si>
  <si>
    <t>Naam van het geotechnische vak waarin het uittredepunt ligt.</t>
  </si>
  <si>
    <t>Uittredelocatie</t>
  </si>
  <si>
    <t>Opmerking_uittredepunt</t>
  </si>
  <si>
    <t>Omschrijving van de locatie van het uittredepunt. Domeinwaarden zijn: binnenteen, maaiveld, watergang, wiel, kopsloot</t>
  </si>
  <si>
    <t>Vrij opmerkingenveld behorende bij de uittredelocatie om bevindingen van de expert in op te nemen</t>
  </si>
  <si>
    <t>Geometrische kwelweglengte [m]</t>
  </si>
  <si>
    <t>Afstand tot buitenteen [m]</t>
  </si>
  <si>
    <t>De kortste afstand tussen het uittredepunt en de gedefinieerde geometrische intredelijn. Let op: dit is niet de effectieve kwelweglengte</t>
  </si>
  <si>
    <t>De kortste afstand tussen het uittredepunt en de buitenteen</t>
  </si>
  <si>
    <t>De kortste afstand tussen het uittredepunt en de binnenteen</t>
  </si>
  <si>
    <t>Maatgevend hoogwater [m t.o.v. NAP]</t>
  </si>
  <si>
    <t>Maatgevend hoogwater behorende bij de norm</t>
  </si>
  <si>
    <t>Polderpeil</t>
  </si>
  <si>
    <t>Polderpeil [m t.o.v. NAP]</t>
  </si>
  <si>
    <t>Polderpeil ter plaatse van uittredepunt. Winterpeil op basis van peilgebieden praktijk.</t>
  </si>
  <si>
    <t>LOK_TOP_Z_HL</t>
  </si>
  <si>
    <t>LOK_TOP_Z_PL</t>
  </si>
  <si>
    <t>Lokale top holoceen zandpakket [m t.o.v. NAP]</t>
  </si>
  <si>
    <t>Lokale top pleistoceen zandpakket [m t.o.v. NAP]</t>
  </si>
  <si>
    <t>P_S1_PL</t>
  </si>
  <si>
    <t>P_S2_HL_F</t>
  </si>
  <si>
    <t>P_S3_HL_TZ</t>
  </si>
  <si>
    <t>P_S4</t>
  </si>
  <si>
    <t>P_S5</t>
  </si>
  <si>
    <t>P_S6</t>
  </si>
  <si>
    <t>UittredepuntenID</t>
  </si>
  <si>
    <t>Hydra NL berekening</t>
  </si>
  <si>
    <t>Peilgebieden praktijk</t>
  </si>
  <si>
    <t>geinterpoleerd raster op basis van beschikbare boringen</t>
  </si>
  <si>
    <t>TypeKoppeling</t>
  </si>
  <si>
    <t>InputBestand</t>
  </si>
  <si>
    <t>InputVeldnaam</t>
  </si>
  <si>
    <t>RasterWaarde</t>
  </si>
  <si>
    <t>SpatialJoin</t>
  </si>
  <si>
    <t>Distance</t>
  </si>
  <si>
    <t>WhereClause</t>
  </si>
  <si>
    <t>Polderpeil_Type</t>
  </si>
  <si>
    <t>Type polderpeil</t>
  </si>
  <si>
    <t>WBN_2075</t>
  </si>
  <si>
    <t>TableName</t>
  </si>
  <si>
    <t>FieldName</t>
  </si>
  <si>
    <t>PropertyName</t>
  </si>
  <si>
    <t>FieldType</t>
  </si>
  <si>
    <t>OpmerkingUittredepunt</t>
  </si>
  <si>
    <t>GeometrischeKwelweglengte</t>
  </si>
  <si>
    <t>AfstandBuitenteen</t>
  </si>
  <si>
    <t>AfstandBinnenteen</t>
  </si>
  <si>
    <t>PolderpeilType</t>
  </si>
  <si>
    <t>TopHoloceenZand</t>
  </si>
  <si>
    <t>TopPleistoceenZand</t>
  </si>
  <si>
    <t>Direction</t>
  </si>
  <si>
    <t>Input</t>
  </si>
  <si>
    <t>Shape</t>
  </si>
  <si>
    <t>UittredePointShape</t>
  </si>
  <si>
    <t>SHAPE</t>
  </si>
  <si>
    <t>DIST_spreidingslengte</t>
  </si>
  <si>
    <t>Stijghoogte_GeohydrologischModel</t>
  </si>
  <si>
    <t xml:space="preserve">Optioneel, kan ook achterwege gelaten worden bij berekening via analytische methode.
</t>
  </si>
  <si>
    <t>Spreidingslengte [m]</t>
  </si>
  <si>
    <t>ParameterNaam</t>
  </si>
  <si>
    <t>Eenheid</t>
  </si>
  <si>
    <t>Modelfactor piping</t>
  </si>
  <si>
    <t>m_p</t>
  </si>
  <si>
    <t>Extra weerstand die wordt veroorzaakt door de gefluïdiseerde zandkorrels in het opbarstkanaal</t>
  </si>
  <si>
    <t>r_c</t>
  </si>
  <si>
    <t>Standaard waarde</t>
  </si>
  <si>
    <t>MaxRatioPipeLengteKwelweglengte</t>
  </si>
  <si>
    <t>1/2 of 1/3</t>
  </si>
  <si>
    <t>gamma_w</t>
  </si>
  <si>
    <t>Volumegewicht van water</t>
  </si>
  <si>
    <t>m_u</t>
  </si>
  <si>
    <t>Modelfactor uplift</t>
  </si>
  <si>
    <t>i;c;h</t>
  </si>
  <si>
    <t>Kritieke heave gradient</t>
  </si>
  <si>
    <t>ω</t>
  </si>
  <si>
    <t>Faalkansruimtefactor voor piping</t>
  </si>
  <si>
    <t>L</t>
  </si>
  <si>
    <t>Trajectlengte</t>
  </si>
  <si>
    <t>Lengte van het dijktraject</t>
  </si>
  <si>
    <t>a;l</t>
  </si>
  <si>
    <t>Lengte van het dijktraject zoals vastgelegd in Bijlage II van de Waterweg [m]</t>
  </si>
  <si>
    <t>0.4 of 0.9</t>
  </si>
  <si>
    <t>b;l</t>
  </si>
  <si>
    <t>Pf_eis_sign</t>
  </si>
  <si>
    <t>Signaleringswaarde</t>
  </si>
  <si>
    <t>Pf_eis_ond</t>
  </si>
  <si>
    <t>Ondergrenswaarde</t>
  </si>
  <si>
    <t>Instellingen ter bepaling geohydrologische uitgangspunten</t>
  </si>
  <si>
    <t>Mechanismegevoelige fractie van de dijktrajectlengte (bovenrivierengebied = 0.4 en beneden riviergebied = 0.9)</t>
  </si>
  <si>
    <t>m/dag</t>
  </si>
  <si>
    <t>-</t>
  </si>
  <si>
    <t>Methode geohydrologische berekening. De berekening met de analytische methode volgens Technisch Rapport Waterspanningen bij Dijken[2004] of de geohydrologische berekening volgens een geohydrologisch model zoals Moria.</t>
  </si>
  <si>
    <t>rekenmethodiekLeklengte (rekenmethode grondwaterstroming)</t>
  </si>
  <si>
    <t>Analytisch</t>
  </si>
  <si>
    <t>Geohydrologisch model</t>
  </si>
  <si>
    <t>De bron van de stijghoogte. Deze is afhankelijk van de gekozen methode.</t>
  </si>
  <si>
    <t>Spreidingslengte voorland</t>
  </si>
  <si>
    <t>Spreidingslengte achterland</t>
  </si>
  <si>
    <t>Stijghoogtebepaling</t>
  </si>
  <si>
    <t>De spreidingslengte in het achterland wordt met methode "Analytisch" afgeleid op basis van de ondergrondscenario's. Met methode "Geohydrologisch model" wordt de stijghoogte in het geohydrologisch model berekend. In dit geval is er geen uitgangspunt nodig voor de spreidingslengte in het achterland</t>
  </si>
  <si>
    <t>Instellingen rekenmodel opbarsten, heave en piping</t>
  </si>
  <si>
    <t>Overstromingskans van het dijktraject waarvan overschrijding gemeld moet worden aan de Minister van I en M. 
Bijvoorbeeld 1/30000</t>
  </si>
  <si>
    <t>Overstromingskans van het dijktraject die hoort bij het minimale beschermingsniveau dat de kering moet bieden. 
Bijvoorbeeld 1/10000</t>
  </si>
  <si>
    <t>KinematischeViscositeit</t>
  </si>
  <si>
    <t>ν</t>
  </si>
  <si>
    <t>Kinematische viscositeit waarmee de intrinsieke doorlatendheid wordt bepaald. Standaard waarde is gebaseerd op grondwater van 10 graden celsius.</t>
  </si>
  <si>
    <t>Rolweerstandshoek</t>
  </si>
  <si>
    <t>θ</t>
  </si>
  <si>
    <t>η</t>
  </si>
  <si>
    <t>CoefficientWhite</t>
  </si>
  <si>
    <t>Coëfficiënt van White</t>
  </si>
  <si>
    <t>gamma_p</t>
  </si>
  <si>
    <t>d70m</t>
  </si>
  <si>
    <t>Symbool</t>
  </si>
  <si>
    <t>gemiddelde d70 in de kleine schaalproeven</t>
  </si>
  <si>
    <t>Toegepaste waarde</t>
  </si>
  <si>
    <t>Rolweerstandshoek van de zandkorrels</t>
  </si>
  <si>
    <t>m</t>
  </si>
  <si>
    <t>De dijkbasis regel. In dit geval een factor die de kritieke pijplente beschijft. Kritieke pijplengte = Benodigde kwelweglengte * MaxRatioPipeLengteKwelweglengte. In het WBI is deze gelijk aan 1/2.</t>
  </si>
  <si>
    <t>γw</t>
  </si>
  <si>
    <t>γ'p</t>
  </si>
  <si>
    <t>(schijnbaar) volumegewicht van de zandkorrels onder water</t>
  </si>
  <si>
    <t>kN/m3</t>
  </si>
  <si>
    <t>°</t>
  </si>
  <si>
    <t>m2/s</t>
  </si>
  <si>
    <t>Stijghoogte gradiënt waarbij heave (over de deklaag) aan wordt getoetst</t>
  </si>
  <si>
    <t>jaar</t>
  </si>
  <si>
    <t>doorlatendheidDunneDeklaag</t>
  </si>
  <si>
    <t>doorlatendheidDikkeDeklaag</t>
  </si>
  <si>
    <t>grensDikte</t>
  </si>
  <si>
    <t>Wordt gebruikt om de weerstand van de deklaag in het achterland en vervolgens de spreidingslengte van het achterland te bepalen. Wordt niet gebruikt indien de stijghoogte met een geohydrologisch model is bepaald.</t>
  </si>
  <si>
    <t>Een dunne deklaag is vaak zandig en/of is aanwezig boven de grondwaterstand. De doorlatendheid is hierdoor vaak lager dan bij een dikke deklaag. Wordt gebruikt om de weerstand van de deklaag in het achterland en vervolgens de spreidingslengte van het achterland te bepalen. Wordt niet gebruikt indien de stijghoogte met een geohydrologisch model is bepaald.</t>
  </si>
  <si>
    <t>Dit gedeelte van de deklaag is "dun" verondersteld en heeft dus een hogere doorlatendheid dan het resterende deel van de deklaag. Wordt niet gebruikt indien de stijghoogte met een geohydrologisch model is bepaald.</t>
  </si>
  <si>
    <t>kv_dun</t>
  </si>
  <si>
    <t>kv_dik</t>
  </si>
  <si>
    <t>Mechanismegevoelige fractie</t>
  </si>
  <si>
    <t>Instellingen faalkansbepaling dijktraject</t>
  </si>
  <si>
    <t>Faalkansruimte</t>
  </si>
  <si>
    <t>d70_gemiddeld</t>
  </si>
  <si>
    <t>Afstand tot grens kritieke pipelengte [m]</t>
  </si>
  <si>
    <t>AfstandGrensKritiekePipelengte</t>
  </si>
  <si>
    <t>Modelfactor heave</t>
  </si>
  <si>
    <t>m_he</t>
  </si>
  <si>
    <t>Een aanvullende modelfactor. Kan gebruikt worden om  een aanvullende factor toe te kennen over het resultaat (zowel positief als negatief)</t>
  </si>
  <si>
    <t>Korrelgrootte D70 holoceen [m]</t>
  </si>
  <si>
    <t>Korrelgrootte D70 pleistoceen [m]</t>
  </si>
  <si>
    <t>De kortste afstand tussen het uittredepunt in de grens kritieke pipelengte</t>
  </si>
  <si>
    <t>Minimaal gelijk aan de buitenteen</t>
  </si>
  <si>
    <t>D70 [m]</t>
  </si>
  <si>
    <t>OndergrondscenarioID [-]</t>
  </si>
  <si>
    <t>VakID [-]</t>
  </si>
  <si>
    <t>Vaknaam [-]</t>
  </si>
  <si>
    <t>Scenarionaam [-]</t>
  </si>
  <si>
    <t>Scenariokans_vak [%]</t>
  </si>
  <si>
    <t>bodemhoogte_vak [m NAP]</t>
  </si>
  <si>
    <t>Scenariotype</t>
  </si>
  <si>
    <t>Scenariotype [-]</t>
  </si>
  <si>
    <t>Pleistoceen</t>
  </si>
  <si>
    <t>Holoceen</t>
  </si>
  <si>
    <t>Tussenzandlaag</t>
  </si>
  <si>
    <t>Bodemhoogte_vak [m NAP]</t>
  </si>
  <si>
    <t>Dikte_Pleistoceen_Zand [m]</t>
  </si>
  <si>
    <t>k_Holoceen_Zand [m/dag]</t>
  </si>
  <si>
    <t>k_Pleistoceen_Zand [m/dag]</t>
  </si>
  <si>
    <t>Top_Holoceen_zand [m NAP]</t>
  </si>
  <si>
    <t>Top_Pleistoceen_zand [m NAP]</t>
  </si>
  <si>
    <t>Top_Zand_Vak [m NAP]</t>
  </si>
  <si>
    <t>0.3d_regel</t>
  </si>
  <si>
    <t>Lengte_effect</t>
  </si>
  <si>
    <t>Namedrange</t>
  </si>
  <si>
    <t>Dikte_Holoceen_Zand [m]</t>
  </si>
  <si>
    <t>visc</t>
  </si>
  <si>
    <t>theta</t>
  </si>
  <si>
    <t>coefficient_white</t>
  </si>
  <si>
    <t>d70_ref</t>
  </si>
  <si>
    <t>rc</t>
  </si>
  <si>
    <t>i_c_h</t>
  </si>
  <si>
    <t>w</t>
  </si>
  <si>
    <t>rekenmethodiekLeklengte</t>
  </si>
  <si>
    <t>a_l</t>
  </si>
  <si>
    <t>b_l</t>
  </si>
  <si>
    <t>Return_eis_sign</t>
  </si>
  <si>
    <t>Return_eis_ond</t>
  </si>
  <si>
    <t>rekenen met signaleringswaarde of ondergrenswaarde?</t>
  </si>
  <si>
    <t>Geometrische_achterland_lengte [m]</t>
  </si>
  <si>
    <t>Dikte_WVP [m]</t>
  </si>
  <si>
    <t>k_Holoceen_zand [m/dag]</t>
  </si>
  <si>
    <t>k_WVP [m/dag]</t>
  </si>
  <si>
    <t>kD_WVP [m2/dag]</t>
  </si>
  <si>
    <t>Weerstand_C3_achterland_handmatig [dagen]</t>
  </si>
  <si>
    <t>Weerstand_C3_achterland [dagen]</t>
  </si>
  <si>
    <t>Weerstand_C1_voorland [dagen]</t>
  </si>
  <si>
    <t>Spreidingslengte_achterland [m]</t>
  </si>
  <si>
    <t>Spreidingslengte_voorland [m]</t>
  </si>
  <si>
    <t>Scenarionamen</t>
  </si>
  <si>
    <t>Return_eis_selectie</t>
  </si>
  <si>
    <t>Pf_eis_selectie</t>
  </si>
  <si>
    <t>Keuze overstromingskans</t>
  </si>
  <si>
    <t>d_deklaag_vak [m]</t>
  </si>
  <si>
    <t>Opmerkingen_ondergrondscenario [-]</t>
  </si>
  <si>
    <t>Gamma_sat_deklaag_vak [kN/m3]</t>
  </si>
  <si>
    <t>Aantal dijkvakken</t>
  </si>
  <si>
    <t>Drop down Scenariotype selectie</t>
  </si>
  <si>
    <t>Door op deze knop te klikken wordt de ondergrondscenario tabel genegereerd. Het aantal rijen in de tabel wordt kloppend gemaakt met het aantal dijkvakken. Per dijkvak zijn  6 ondergrondscenario's mogelijk. Er worden dus ook 6 rijen gegenereerd.</t>
  </si>
  <si>
    <r>
      <t xml:space="preserve">De ondergrondtabel </t>
    </r>
    <r>
      <rPr>
        <b/>
        <u/>
        <sz val="11"/>
        <color rgb="FFFF0000"/>
        <rFont val="Calibri"/>
        <family val="2"/>
        <scheme val="minor"/>
      </rPr>
      <t>alleen</t>
    </r>
    <r>
      <rPr>
        <b/>
        <sz val="11"/>
        <color rgb="FFFF0000"/>
        <rFont val="Calibri"/>
        <family val="2"/>
        <scheme val="minor"/>
      </rPr>
      <t xml:space="preserve"> genereren aan het begin van het project om de tabel aan te maken. Bij het opnieuw genereren van de tabel worden de invoerwaardes namelijk verwijderd!</t>
    </r>
  </si>
  <si>
    <t>Hoe wordt de spreidingslengte in het voorland afgeleid? In het tabblad "Ondergrondscenarios" of met een lijn in GIS (Shapefile)?</t>
  </si>
  <si>
    <t>Lokale scenariokans voor scenario 4 [0 - 1,0]</t>
  </si>
  <si>
    <t>Lokale scenariokans voor scenario 5 [0 - 1,0]</t>
  </si>
  <si>
    <t>Lokale scenariokans voor scenario 6 [0 - 1,0]</t>
  </si>
  <si>
    <t>Lokale scenariokans voor scenario 1 [0 - 1,0]</t>
  </si>
  <si>
    <t>Lokale scenariokans voor scenario 2 [0 - 1,0]</t>
  </si>
  <si>
    <t>Lokale scenariokans voor scenario 3 [0 - 1,0]</t>
  </si>
  <si>
    <t>Karakteristieke spreidingslengte voorland</t>
  </si>
  <si>
    <t>KarkSpreidinglengteVoorland</t>
  </si>
  <si>
    <t>Met deze optie kan een karakteristieke waarde bepaling worden uitgevoerd op de afgeleide spreidingslengte. De karakteristieke waarde wordt bepaald uitgaande van een lognormale verdeling (geen spreidingsreductie of steekproef).</t>
  </si>
  <si>
    <t>Karakterisieke waarde bepalen?</t>
  </si>
  <si>
    <t>Ja</t>
  </si>
  <si>
    <t>Variatiecoëficient spreidingslengte voorland</t>
  </si>
  <si>
    <t>VCSpreidingslengteVoorland</t>
  </si>
  <si>
    <t>VC</t>
  </si>
  <si>
    <t>De variatiecoeficiënt die wordt gehanteerd in de karakteristieke waarde bepaling van de spreidinglengte in het voorland.</t>
  </si>
  <si>
    <t>Percentiel spreidingslengte voorland</t>
  </si>
  <si>
    <t>PercentielSpreidingslengteVoorland</t>
  </si>
  <si>
    <t>Het percentiel waarmee de karakteristieke waarde wordt bepaald (95% bovengrens = 0.95, 5% ondergrens = 0.05).</t>
  </si>
  <si>
    <t>Afstand tot binnenteen [m]</t>
  </si>
  <si>
    <t>AfstandSpreidingslengte</t>
  </si>
  <si>
    <t>WBN</t>
  </si>
  <si>
    <t>Verwachte stijghoogte, uitgelezen uit geohydrologisch model [m t.o.v. NAP]</t>
  </si>
  <si>
    <t>Bij de PipingTool horen de volgende rapportages:</t>
  </si>
  <si>
    <t>Opgesteld door: Dirk Voesenek en Tom de Wit</t>
  </si>
  <si>
    <t>De toegepaste celstijlen hebben de volgende betekenis</t>
  </si>
  <si>
    <t>Invoer</t>
  </si>
  <si>
    <t>Berekening</t>
  </si>
  <si>
    <t>mag niet aangepast worden</t>
  </si>
  <si>
    <t>Nee</t>
  </si>
  <si>
    <t>Hoofdrapport PipingTool, 28-10-2020, T&amp;P-BH2549-R001-F1.0, Waterschap Rivierenland en Royal HaskoningDHV.</t>
  </si>
  <si>
    <t>Achtergrondrapport PipingTool, 28-10-2020, T&amp;P-BH2549-R002-F1.0., Waterschap Rivierenland en Royal HaskoningDHV.</t>
  </si>
  <si>
    <t>Gebruikershandleiding PipingTool, 28-10-2020, T&amp;P-BH2549-R004-F1.0, Waterschap Rivierenland en Royal HaskoningDHV.</t>
  </si>
  <si>
    <t>Validatierapport PipingTool, 28-10-2020, T&amp;P-BH2549-R003-F1.0, Waterschap Rivierenland en Royal HaskoningDHV.</t>
  </si>
  <si>
    <t>Configuratietabel PipingTool versie 1.0</t>
  </si>
  <si>
    <t>01a</t>
  </si>
  <si>
    <t>01b</t>
  </si>
  <si>
    <t>02a</t>
  </si>
  <si>
    <t>02b</t>
  </si>
  <si>
    <t>02c</t>
  </si>
  <si>
    <t>03a</t>
  </si>
  <si>
    <t>03b</t>
  </si>
  <si>
    <t>03c</t>
  </si>
  <si>
    <t>03d</t>
  </si>
  <si>
    <t>04a</t>
  </si>
  <si>
    <t>04b</t>
  </si>
  <si>
    <t>05a</t>
  </si>
  <si>
    <t>05b</t>
  </si>
  <si>
    <t>05c</t>
  </si>
  <si>
    <t>05d</t>
  </si>
  <si>
    <t>05e</t>
  </si>
  <si>
    <t>06a</t>
  </si>
  <si>
    <t>06b</t>
  </si>
  <si>
    <t>07a</t>
  </si>
  <si>
    <t>07b</t>
  </si>
  <si>
    <t>07c</t>
  </si>
  <si>
    <t>07d</t>
  </si>
  <si>
    <t>07e</t>
  </si>
  <si>
    <t>07f</t>
  </si>
  <si>
    <t>07g</t>
  </si>
  <si>
    <t>07h</t>
  </si>
  <si>
    <t>07i</t>
  </si>
  <si>
    <t>07j</t>
  </si>
  <si>
    <t>07k</t>
  </si>
  <si>
    <t>08a</t>
  </si>
  <si>
    <t>08b</t>
  </si>
  <si>
    <t>08c</t>
  </si>
  <si>
    <t>08d</t>
  </si>
  <si>
    <t>09a</t>
  </si>
  <si>
    <t>09b</t>
  </si>
  <si>
    <t>10a</t>
  </si>
  <si>
    <t>10b</t>
  </si>
  <si>
    <t>11a</t>
  </si>
  <si>
    <t>12a</t>
  </si>
  <si>
    <t>12b</t>
  </si>
  <si>
    <t>12c</t>
  </si>
  <si>
    <t>12d</t>
  </si>
  <si>
    <t>12e</t>
  </si>
  <si>
    <t>12f</t>
  </si>
  <si>
    <t>12g</t>
  </si>
  <si>
    <t>13a</t>
  </si>
  <si>
    <t>13b</t>
  </si>
  <si>
    <t>13c</t>
  </si>
  <si>
    <t>13d</t>
  </si>
  <si>
    <t>14a</t>
  </si>
  <si>
    <t>14b</t>
  </si>
  <si>
    <t>Deze configuratietabel is onderdeel van de PipingTool versie 1.0</t>
  </si>
  <si>
    <t>C:\Projecten\BH2549 - Pipingtool\Data\Testdata GoWa\03 Beslisboom\Uittredepunten\UIttredepunten.gdb\UTP_20200424_AanvullingDeelvak02a_27</t>
  </si>
  <si>
    <t>C:\Projecten\BH2549 - Pipingtool\Data\Testdata GoWa\03 Beslisboom\Intredelijn\Intredelijn.gdb\Intredelijn_incl_geulen_CROB_021019</t>
  </si>
  <si>
    <t>C:\Projecten\BH2549 - Pipingtool\Data\Testdata GoWa\03 Beslisboom\BUT_BIT\BUT_BIT.gdb\Grens_KritiekePiijplengte_20191015</t>
  </si>
  <si>
    <t>C:\Projecten\BH2549 - Pipingtool\Data\Testdata GoWa\03 Beslisboom\BUT_BIT\BUT_BIT.gdb\BIT_DO_15102019</t>
  </si>
  <si>
    <t>C:\Projecten\BH2549 - Pipingtool\Data\Testdata GoWa\03 Beslisboom\Spreidingslengte\Spreidingslengte.gdb\Spreidingslengte_120619</t>
  </si>
  <si>
    <t>C:\Projecten\BH2549 - Pipingtool\Data\Testdata GoWa\03 Beslisboom\WBNwaal\WBNwaal.gdb\WBN_Waal</t>
  </si>
  <si>
    <t>C:\Projecten\BH2549 - Pipingtool\Data\Testdata GoWa\03 Beslisboom\Stijghoogte\Stijghoogte.gdb\AV_25b_MHW2075_head_20189110_l4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</si>
</sst>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quot;1/&quot;#,##0_);\(&quot;$&quot;#,##0\)"/>
  </numFmts>
  <fonts count="1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font>
    <font>
      <sz val="11"/>
      <color theme="1"/>
      <name val="Calibri"/>
      <family val="2"/>
      <scheme val="minor"/>
    </font>
    <font>
      <b/>
      <sz val="13"/>
      <color theme="3"/>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0070C0"/>
      <name val="Calibri"/>
      <family val="2"/>
      <scheme val="minor"/>
    </font>
    <font>
      <b/>
      <sz val="11"/>
      <color rgb="FFFF0000"/>
      <name val="Calibri"/>
      <family val="2"/>
      <scheme val="minor"/>
    </font>
    <font>
      <b/>
      <u/>
      <sz val="11"/>
      <color rgb="FFFF0000"/>
      <name val="Calibri"/>
      <family val="2"/>
      <scheme val="minor"/>
    </font>
    <font>
      <b/>
      <sz val="15"/>
      <color theme="3"/>
      <name val="Calibri"/>
      <family val="2"/>
      <scheme val="minor"/>
    </font>
  </fonts>
  <fills count="5">
    <fill>
      <patternFill patternType="none"/>
    </fill>
    <fill>
      <patternFill patternType="gray125"/>
    </fill>
    <fill>
      <patternFill patternType="solid">
        <fgColor rgb="FFFFFF00"/>
        <bgColor indexed="64"/>
      </patternFill>
    </fill>
    <fill>
      <patternFill patternType="solid">
        <fgColor rgb="FFFFCC99"/>
      </patternFill>
    </fill>
    <fill>
      <patternFill patternType="solid">
        <fgColor rgb="FFF2F2F2"/>
      </patternFill>
    </fill>
  </fills>
  <borders count="5">
    <border>
      <left/>
      <right/>
      <top/>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thick">
        <color theme="4"/>
      </bottom>
      <diagonal/>
    </border>
  </borders>
  <cellStyleXfs count="8">
    <xf numFmtId="0" fontId="0" fillId="0" borderId="0"/>
    <xf numFmtId="0" fontId="2" fillId="0" borderId="0" applyNumberFormat="0" applyFill="0" applyBorder="0" applyAlignment="0" applyProtection="0"/>
    <xf numFmtId="9" fontId="4" fillId="0" borderId="0" applyFont="0" applyFill="0" applyBorder="0" applyAlignment="0" applyProtection="0"/>
    <xf numFmtId="0" fontId="5" fillId="0" borderId="1" applyNumberFormat="0" applyFill="0" applyAlignment="0" applyProtection="0"/>
    <xf numFmtId="0" fontId="6" fillId="3" borderId="2" applyNumberFormat="0" applyAlignment="0" applyProtection="0"/>
    <xf numFmtId="0" fontId="7" fillId="4" borderId="3" applyNumberFormat="0" applyAlignment="0" applyProtection="0"/>
    <xf numFmtId="0" fontId="8" fillId="4" borderId="2" applyNumberFormat="0" applyAlignment="0" applyProtection="0"/>
    <xf numFmtId="0" fontId="12" fillId="0" borderId="4" applyNumberFormat="0" applyFill="0" applyAlignment="0" applyProtection="0"/>
  </cellStyleXfs>
  <cellXfs count="50">
    <xf numFmtId="0" fontId="0" fillId="0" borderId="0" xfId="0"/>
    <xf numFmtId="0" fontId="1" fillId="0" borderId="0" xfId="0" applyFont="1"/>
    <xf numFmtId="0" fontId="0" fillId="0" borderId="0" xfId="0" quotePrefix="1"/>
    <xf numFmtId="0" fontId="0" fillId="0" borderId="0" xfId="0" applyAlignment="1">
      <alignment wrapText="1"/>
    </xf>
    <xf numFmtId="0" fontId="2" fillId="0" borderId="0" xfId="1"/>
    <xf numFmtId="0" fontId="0" fillId="0" borderId="0" xfId="0" applyFill="1"/>
    <xf numFmtId="0" fontId="0" fillId="2" borderId="0" xfId="0" applyFill="1"/>
    <xf numFmtId="2" fontId="6" fillId="3" borderId="2" xfId="4" applyNumberFormat="1"/>
    <xf numFmtId="0" fontId="6" fillId="3" borderId="2" xfId="4"/>
    <xf numFmtId="0" fontId="6" fillId="3" borderId="2" xfId="4" applyAlignment="1">
      <alignment horizontal="center" vertical="center" wrapText="1"/>
    </xf>
    <xf numFmtId="0" fontId="0" fillId="0" borderId="0" xfId="0" applyAlignment="1">
      <alignment horizontal="center" vertical="center"/>
    </xf>
    <xf numFmtId="0" fontId="7" fillId="4" borderId="3" xfId="5" applyAlignment="1">
      <alignment horizontal="center" vertical="center"/>
    </xf>
    <xf numFmtId="0" fontId="6" fillId="3" borderId="2" xfId="4" applyAlignment="1">
      <alignment horizontal="center" vertical="center"/>
    </xf>
    <xf numFmtId="0" fontId="8" fillId="4" borderId="2" xfId="6" applyAlignment="1">
      <alignment horizontal="center" vertical="center"/>
    </xf>
    <xf numFmtId="2" fontId="6" fillId="3" borderId="2" xfId="4" applyNumberFormat="1" applyAlignment="1">
      <alignment horizontal="center" vertical="center"/>
    </xf>
    <xf numFmtId="0" fontId="1" fillId="0" borderId="0" xfId="0" applyFont="1" applyAlignment="1">
      <alignment horizontal="center" vertical="center"/>
    </xf>
    <xf numFmtId="0" fontId="5" fillId="0" borderId="1" xfId="3"/>
    <xf numFmtId="0" fontId="5" fillId="0" borderId="1" xfId="3" applyAlignment="1">
      <alignment horizontal="center" vertical="center"/>
    </xf>
    <xf numFmtId="165" fontId="6" fillId="3" borderId="2" xfId="4" applyNumberFormat="1" applyAlignment="1">
      <alignment horizontal="center" vertical="center"/>
    </xf>
    <xf numFmtId="11" fontId="7" fillId="4" borderId="3" xfId="5" applyNumberFormat="1" applyAlignment="1">
      <alignment horizontal="center" vertical="center"/>
    </xf>
    <xf numFmtId="11" fontId="0" fillId="0" borderId="0" xfId="0" applyNumberFormat="1" applyAlignment="1">
      <alignment horizontal="center" vertical="center"/>
    </xf>
    <xf numFmtId="0" fontId="3" fillId="0" borderId="0" xfId="0" applyFont="1" applyAlignment="1">
      <alignment horizontal="center" vertical="center"/>
    </xf>
    <xf numFmtId="0" fontId="0" fillId="0" borderId="0" xfId="0" applyAlignment="1">
      <alignment horizontal="left" vertical="center"/>
    </xf>
    <xf numFmtId="0" fontId="5" fillId="0" borderId="1" xfId="3" applyAlignment="1">
      <alignment horizontal="left" vertical="center"/>
    </xf>
    <xf numFmtId="0" fontId="1" fillId="0" borderId="0" xfId="0" applyFont="1" applyAlignment="1">
      <alignment horizontal="left" vertical="center"/>
    </xf>
    <xf numFmtId="0" fontId="0" fillId="0" borderId="0" xfId="0" applyAlignment="1">
      <alignment horizontal="left" vertical="center" wrapText="1"/>
    </xf>
    <xf numFmtId="9" fontId="6" fillId="3" borderId="2" xfId="2" applyFont="1" applyFill="1" applyBorder="1" applyAlignment="1">
      <alignment horizontal="center"/>
    </xf>
    <xf numFmtId="164" fontId="6" fillId="3" borderId="2" xfId="4" applyNumberFormat="1"/>
    <xf numFmtId="0" fontId="0" fillId="0" borderId="0" xfId="0" applyFill="1" applyAlignment="1">
      <alignment horizontal="left" vertical="center"/>
    </xf>
    <xf numFmtId="2" fontId="0" fillId="0" borderId="0" xfId="0" applyNumberFormat="1"/>
    <xf numFmtId="0" fontId="0" fillId="2" borderId="0" xfId="0" applyFill="1" applyAlignment="1">
      <alignment horizontal="left" vertical="center"/>
    </xf>
    <xf numFmtId="1" fontId="0" fillId="0" borderId="0" xfId="0" applyNumberFormat="1" applyAlignment="1">
      <alignment horizontal="right"/>
    </xf>
    <xf numFmtId="1" fontId="0" fillId="0" borderId="0" xfId="0" applyNumberFormat="1"/>
    <xf numFmtId="1" fontId="6" fillId="3" borderId="2" xfId="4" applyNumberFormat="1" applyAlignment="1">
      <alignment horizontal="right"/>
    </xf>
    <xf numFmtId="0" fontId="0" fillId="0" borderId="0" xfId="0" applyAlignment="1">
      <alignment horizontal="center"/>
    </xf>
    <xf numFmtId="0" fontId="6" fillId="3" borderId="2" xfId="4" applyAlignment="1">
      <alignment horizontal="center"/>
    </xf>
    <xf numFmtId="0" fontId="8" fillId="4" borderId="2" xfId="6"/>
    <xf numFmtId="0" fontId="9" fillId="0" borderId="0" xfId="0" applyFont="1"/>
    <xf numFmtId="0" fontId="10" fillId="0" borderId="0" xfId="0" applyFont="1" applyAlignment="1">
      <alignment wrapText="1"/>
    </xf>
    <xf numFmtId="0" fontId="0" fillId="0" borderId="0" xfId="0" applyAlignment="1">
      <alignment horizontal="center" vertical="center" wrapText="1"/>
    </xf>
    <xf numFmtId="0" fontId="0" fillId="0" borderId="0" xfId="0" applyFill="1" applyAlignment="1">
      <alignment wrapText="1"/>
    </xf>
    <xf numFmtId="0" fontId="6" fillId="3" borderId="2" xfId="4" applyAlignment="1">
      <alignment wrapText="1"/>
    </xf>
    <xf numFmtId="0" fontId="5" fillId="0" borderId="0" xfId="3" applyBorder="1" applyAlignment="1">
      <alignment horizontal="left" vertical="center"/>
    </xf>
    <xf numFmtId="0" fontId="5" fillId="0" borderId="0" xfId="3" applyBorder="1" applyAlignment="1">
      <alignment horizontal="center" vertical="center"/>
    </xf>
    <xf numFmtId="0" fontId="5" fillId="0" borderId="0" xfId="3" applyBorder="1"/>
    <xf numFmtId="0" fontId="12" fillId="0" borderId="4" xfId="7"/>
    <xf numFmtId="0" fontId="0" fillId="0" borderId="0" xfId="0" applyAlignment="1">
      <alignment horizontal="right"/>
    </xf>
    <xf numFmtId="0" fontId="0" fillId="0" borderId="0" xfId="0" applyAlignment="1">
      <alignment horizontal="left"/>
    </xf>
    <xf numFmtId="0" fontId="8" fillId="4" borderId="2" xfId="6" applyAlignment="1">
      <alignment horizontal="center"/>
    </xf>
    <xf numFmtId="0" fontId="7" fillId="4" borderId="3" xfId="5" applyAlignment="1">
      <alignment horizontal="center"/>
    </xf>
  </cellXfs>
  <cellStyles count="8">
    <cellStyle name="Calculation" xfId="6" builtinId="22"/>
    <cellStyle name="Heading 1" xfId="7" builtinId="16"/>
    <cellStyle name="Heading 2" xfId="3" builtinId="17"/>
    <cellStyle name="Hyperlink" xfId="1" builtinId="8"/>
    <cellStyle name="Input" xfId="4" builtinId="20"/>
    <cellStyle name="Normal" xfId="0" builtinId="0"/>
    <cellStyle name="Output" xfId="5" builtinId="21"/>
    <cellStyle name="Percent" xfId="2" builtinId="5"/>
  </cellStyles>
  <dxfs count="43">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theme="1"/>
        <name val="Calibri"/>
        <family val="2"/>
        <scheme val="minor"/>
      </font>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rgb="FF7F7F7F"/>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border outline="0">
        <top style="thick">
          <color theme="4" tint="0.499984740745262"/>
        </top>
      </border>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border outline="0">
        <top style="thick">
          <color theme="4" tint="0.499984740745262"/>
        </top>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quot;1/&quot;#,##0_);\(&quot;$&quot;#,##0\)"/>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border outline="0">
        <top style="thick">
          <color theme="4" tint="0.499984740745262"/>
        </top>
      </border>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42"/>
      <tableStyleElement type="headerRow" dxfId="4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906781</xdr:colOff>
      <xdr:row>0</xdr:row>
      <xdr:rowOff>62866</xdr:rowOff>
    </xdr:from>
    <xdr:to>
      <xdr:col>8</xdr:col>
      <xdr:colOff>113240</xdr:colOff>
      <xdr:row>1</xdr:row>
      <xdr:rowOff>510541</xdr:rowOff>
    </xdr:to>
    <xdr:pic>
      <xdr:nvPicPr>
        <xdr:cNvPr id="2" name="Picture 1">
          <a:extLst>
            <a:ext uri="{FF2B5EF4-FFF2-40B4-BE49-F238E27FC236}">
              <a16:creationId xmlns:a16="http://schemas.microsoft.com/office/drawing/2014/main" id="{6F2D6731-5E95-4959-A173-FB9F56A86C10}"/>
            </a:ext>
          </a:extLst>
        </xdr:cNvPr>
        <xdr:cNvPicPr>
          <a:picLocks noChangeAspect="1"/>
        </xdr:cNvPicPr>
      </xdr:nvPicPr>
      <xdr:blipFill>
        <a:blip xmlns:r="http://schemas.openxmlformats.org/officeDocument/2006/relationships" r:embed="rId1"/>
        <a:stretch>
          <a:fillRect/>
        </a:stretch>
      </xdr:blipFill>
      <xdr:spPr>
        <a:xfrm>
          <a:off x="5164456" y="62866"/>
          <a:ext cx="1140034" cy="628650"/>
        </a:xfrm>
        <a:prstGeom prst="rect">
          <a:avLst/>
        </a:prstGeom>
      </xdr:spPr>
    </xdr:pic>
    <xdr:clientData/>
  </xdr:twoCellAnchor>
  <xdr:twoCellAnchor editAs="oneCell">
    <xdr:from>
      <xdr:col>8</xdr:col>
      <xdr:colOff>219075</xdr:colOff>
      <xdr:row>0</xdr:row>
      <xdr:rowOff>38100</xdr:rowOff>
    </xdr:from>
    <xdr:to>
      <xdr:col>10</xdr:col>
      <xdr:colOff>497205</xdr:colOff>
      <xdr:row>1</xdr:row>
      <xdr:rowOff>516660</xdr:rowOff>
    </xdr:to>
    <xdr:pic>
      <xdr:nvPicPr>
        <xdr:cNvPr id="3" name="Picture 2">
          <a:extLst>
            <a:ext uri="{FF2B5EF4-FFF2-40B4-BE49-F238E27FC236}">
              <a16:creationId xmlns:a16="http://schemas.microsoft.com/office/drawing/2014/main" id="{B121F043-456C-4F90-A1B3-E3AD2F5BB8A0}"/>
            </a:ext>
          </a:extLst>
        </xdr:cNvPr>
        <xdr:cNvPicPr>
          <a:picLocks noChangeAspect="1"/>
        </xdr:cNvPicPr>
      </xdr:nvPicPr>
      <xdr:blipFill>
        <a:blip xmlns:r="http://schemas.openxmlformats.org/officeDocument/2006/relationships" r:embed="rId2"/>
        <a:stretch>
          <a:fillRect/>
        </a:stretch>
      </xdr:blipFill>
      <xdr:spPr>
        <a:xfrm>
          <a:off x="7267575" y="38100"/>
          <a:ext cx="1497330" cy="67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990600</xdr:colOff>
      <xdr:row>0</xdr:row>
      <xdr:rowOff>133350</xdr:rowOff>
    </xdr:from>
    <xdr:to>
      <xdr:col>4</xdr:col>
      <xdr:colOff>5019675</xdr:colOff>
      <xdr:row>8</xdr:row>
      <xdr:rowOff>0</xdr:rowOff>
    </xdr:to>
    <xdr:sp macro="[0]!GenereerOndergrondscenarios" textlink="">
      <xdr:nvSpPr>
        <xdr:cNvPr id="2" name="Rectangle 1">
          <a:extLst>
            <a:ext uri="{FF2B5EF4-FFF2-40B4-BE49-F238E27FC236}">
              <a16:creationId xmlns:a16="http://schemas.microsoft.com/office/drawing/2014/main" id="{FAFB2DA8-0367-41B3-ABF8-38DD39559129}"/>
            </a:ext>
          </a:extLst>
        </xdr:cNvPr>
        <xdr:cNvSpPr/>
      </xdr:nvSpPr>
      <xdr:spPr>
        <a:xfrm>
          <a:off x="4286250" y="133350"/>
          <a:ext cx="4029075" cy="13906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2000"/>
            <a:t>Genereer ondergrondscenario</a:t>
          </a:r>
          <a:r>
            <a:rPr lang="nl-NL" sz="2000" baseline="0"/>
            <a:t> tabel</a:t>
          </a:r>
          <a:endParaRPr lang="nl-NL" sz="2000"/>
        </a:p>
      </xdr:txBody>
    </xdr:sp>
    <xdr:clientData/>
  </xdr:twoCellAnchor>
</xdr:wsDr>
</file>

<file path=xl/persons/person.xml><?xml version="1.0" encoding="utf-8"?>
<personList xmlns="http://schemas.microsoft.com/office/spreadsheetml/2018/threadedcomments" xmlns:x="http://schemas.openxmlformats.org/spreadsheetml/2006/main">
  <person displayName="Tom de Wit" id="{871E9503-BAB9-4755-B81B-ED971E661678}" userId="S::tom.de.wit@rhdhv.com::072ac276-2f74-4936-bbb4-173a605b6956"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B4BC39-83DF-4644-BC4B-0163CE44D057}" name="Table5" displayName="Table5" ref="B4:H11" totalsRowShown="0" headerRowDxfId="40" dataDxfId="39" tableBorderDxfId="38">
  <autoFilter ref="B4:H11" xr:uid="{B89FE591-D50B-4EF6-BBFB-7F64BADCD746}"/>
  <tableColumns count="7">
    <tableColumn id="1" xr3:uid="{8E443771-AD92-4C46-86DA-B814AEC47C97}" name="ParameterNaam" dataDxfId="37"/>
    <tableColumn id="2" xr3:uid="{8976965A-30EB-408F-A622-837F355215B8}" name="Namedrange"/>
    <tableColumn id="3" xr3:uid="{70EF770C-44DC-49B3-A65A-1906695C6BE0}" name="Symbool" dataDxfId="36"/>
    <tableColumn id="4" xr3:uid="{3AA66E1C-4779-40FA-83FE-94D1380DF709}" name="Omschrijving" dataDxfId="35"/>
    <tableColumn id="5" xr3:uid="{03EFBEE5-2BE1-4859-A0EB-834AC003C0AC}" name="Standaard waarde" dataDxfId="34"/>
    <tableColumn id="6" xr3:uid="{BF14C0F1-5D9B-4D95-862A-9808A6D74DC6}" name="Toegepaste waarde" dataDxfId="33" dataCellStyle="Input"/>
    <tableColumn id="7" xr3:uid="{7C97AC90-79D1-4F1F-9C50-BE8C5D8E3484}" name="Eenheid"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B5394DF-018A-414A-AADB-CAE7194315F2}" name="Table6" displayName="Table6" ref="B15:H27" totalsRowShown="0" headerRowDxfId="31" tableBorderDxfId="30">
  <autoFilter ref="B15:H27" xr:uid="{F6600073-E019-485E-A68D-6A3AE55B0B3C}"/>
  <tableColumns count="7">
    <tableColumn id="1" xr3:uid="{6F7E72B0-AB42-4E43-A3F3-DA513841A448}" name="ParameterNaam" dataDxfId="29"/>
    <tableColumn id="2" xr3:uid="{4CD1140F-36FD-4A28-965C-544437C7160E}" name="Namedrange" dataDxfId="28"/>
    <tableColumn id="3" xr3:uid="{02E9E0E3-6AC2-4960-B004-A15998719872}" name="Symbool" dataDxfId="27"/>
    <tableColumn id="4" xr3:uid="{64E68840-74D7-47F0-9211-F71D241B4963}" name="Omschrijving"/>
    <tableColumn id="5" xr3:uid="{FBCD9F28-874E-44E6-BF5E-57577B079C41}" name="Standaard waarde" dataDxfId="26"/>
    <tableColumn id="6" xr3:uid="{6D416ACA-A4C9-46D3-81F9-6434AC52D30A}" name="Toegepaste waarde" dataDxfId="25" dataCellStyle="Output">
      <calculatedColumnFormula>F16</calculatedColumnFormula>
    </tableColumn>
    <tableColumn id="7" xr3:uid="{A7A74C67-1AF2-43DA-96B0-A717220B4A25}" name="Eenheid" dataDxfId="2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035C562-2A58-4A14-BC8E-4A95B94C9158}" name="Table7" displayName="Table7" ref="B31:H41" totalsRowShown="0" headerRowDxfId="23" dataDxfId="22" tableBorderDxfId="21">
  <autoFilter ref="B31:H41" xr:uid="{2B5F91B9-DA3D-4820-A9B9-B28C504A8C09}"/>
  <tableColumns count="7">
    <tableColumn id="1" xr3:uid="{95264729-E639-4E62-AF31-54190AAA7602}" name="ParameterNaam" dataDxfId="20"/>
    <tableColumn id="2" xr3:uid="{A6FD3C63-1FAA-4843-8FD0-7B58F1D65B08}" name="Namedrange" dataDxfId="19"/>
    <tableColumn id="3" xr3:uid="{5B709E4F-A8AD-4118-B764-A3CF31F06B8E}" name="Symbool" dataDxfId="18"/>
    <tableColumn id="4" xr3:uid="{3F70FBFB-AC72-4615-961B-FC1E706D2044}" name="Omschrijving" dataDxfId="17"/>
    <tableColumn id="5" xr3:uid="{3CC533D9-9179-4FDC-A159-CE9F3E66A237}" name="Standaard waarde" dataDxfId="16"/>
    <tableColumn id="6" xr3:uid="{713D803B-7757-4106-8D9D-F4D3BF22E10D}" name="Toegepaste waarde" dataDxfId="15" dataCellStyle="Input"/>
    <tableColumn id="7" xr3:uid="{C71F3CA8-1935-4CC9-B382-CFF36A441137}" name="Eenheid" dataDxfId="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21F6DA-E978-4E97-BD0F-802E23913463}" name="DataDijkvakken" displayName="DataDijkvakken" ref="B1:I100" totalsRowShown="0" tableBorderDxfId="13" dataCellStyle="Input">
  <autoFilter ref="B1:I100" xr:uid="{170589BA-B3A3-40A1-8524-43998C2E47B2}"/>
  <tableColumns count="8">
    <tableColumn id="1" xr3:uid="{EE495F64-91F4-4D50-8C3D-08374D0AB918}" name="Vaknaam [-]" dataDxfId="12" dataCellStyle="Input"/>
    <tableColumn id="2" xr3:uid="{DBA1983D-7414-4C17-B22F-7154886A84BB}" name="Bodemhoogte_vak [m NAP]" dataDxfId="11" dataCellStyle="Input"/>
    <tableColumn id="3" xr3:uid="{66182F30-C878-4034-ADB0-E58C472A5736}" name="Gamma_sat_deklaag_vak [kN/m3]" dataDxfId="10" dataCellStyle="Input"/>
    <tableColumn id="4" xr3:uid="{D0FA9718-ADB1-4FCF-99F8-EBC37585745B}" name="Dikte_Pleistoceen_Zand [m]" dataDxfId="9" dataCellStyle="Input"/>
    <tableColumn id="5" xr3:uid="{3DEC30B8-6BF0-4256-81D0-0F45C2297ECD}" name="k_Holoceen_Zand [m/dag]" dataDxfId="8" dataCellStyle="Input"/>
    <tableColumn id="6" xr3:uid="{D07572F6-B663-45BD-8CDB-8C3A3D191815}" name="k_Pleistoceen_Zand [m/dag]" dataDxfId="7" dataCellStyle="Input"/>
    <tableColumn id="7" xr3:uid="{579498D5-5E4B-430D-9107-6D4C822C94AF}" name="Korrelgrootte D70 holoceen [m]" dataDxfId="6" dataCellStyle="Input">
      <calculatedColumnFormula>250*10^-6</calculatedColumnFormula>
    </tableColumn>
    <tableColumn id="8" xr3:uid="{386683E8-B9C1-48A6-90CC-7CEE390C6989}" name="Korrelgrootte D70 pleistoceen [m]" dataDxfId="5" dataCellStyle="Input">
      <calculatedColumnFormula>250*10^-6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0E8D8B4-215F-42C0-BB9A-7059D0AD0BD7}" name="Table3" displayName="Table3" ref="B2:C8" totalsRowShown="0" dataCellStyle="Input">
  <autoFilter ref="B2:C8" xr:uid="{A9BA5B3B-5252-4720-B533-3D560118E0CC}"/>
  <tableColumns count="2">
    <tableColumn id="1" xr3:uid="{91B22B30-3774-465F-9BD0-7743CC68AF86}" name="Scenarionamen" dataCellStyle="Input"/>
    <tableColumn id="2" xr3:uid="{0A2352AC-85CD-4378-8CDC-818DB3C06615}" name="Scenariotype" dataCellStyle="Inpu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2B13A22-7F9C-4370-87AD-F2401D809819}" name="Ondergrondscenarios" displayName="Ondergrondscenarios" ref="A1:AA307" totalsRowShown="0">
  <tableColumns count="27">
    <tableColumn id="1" xr3:uid="{C8B54B2A-3CC1-4095-A97E-AC489B714DDB}" name="OndergrondscenarioID [-]"/>
    <tableColumn id="2" xr3:uid="{62C4AFE1-18E8-4B73-A91E-ED810003E7E9}" name="VakID [-]"/>
    <tableColumn id="3" xr3:uid="{F094D9AA-0F3D-4BFA-99CF-70B70095D3CA}" name="Vaknaam [-]"/>
    <tableColumn id="4" xr3:uid="{A97C857E-7E57-4790-A5C2-AB69EFC13B99}" name="Scenarionaam [-]"/>
    <tableColumn id="5" xr3:uid="{90823E23-2D82-4A3B-8DEE-A618733D73FC}" name="Scenariotype [-]"/>
    <tableColumn id="8" xr3:uid="{DB164008-0BDC-48FD-B87A-D90730F3A8C3}" name="Scenariokans_vak [%]"/>
    <tableColumn id="9" xr3:uid="{C9B99036-DA10-46F1-8E5F-87225BDF7A74}" name="bodemhoogte_vak [m NAP]"/>
    <tableColumn id="10" xr3:uid="{CA001A46-DC52-4C3A-B292-0C382A33E5E7}" name="Top_Holoceen_zand [m NAP]"/>
    <tableColumn id="11" xr3:uid="{B68CB792-4D35-4E63-8154-45B425FADE6B}" name="Top_Pleistoceen_zand [m NAP]"/>
    <tableColumn id="34" xr3:uid="{DE540AED-AB6C-48D7-BB52-989EEA8ACECC}" name="Top_Zand_Vak [m NAP]" dataDxfId="4"/>
    <tableColumn id="14" xr3:uid="{A48AE29E-E55A-44BA-B50E-5C9B7FE24F75}" name="d_deklaag_vak [m]"/>
    <tableColumn id="15" xr3:uid="{B37EC728-4268-411E-90ED-6EB54F7EF00D}" name="Dikte_Holoceen_Zand [m]"/>
    <tableColumn id="16" xr3:uid="{22B29607-DDC2-4104-B1AA-02D84B0C6A6A}" name="Dikte_Pleistoceen_Zand [m]"/>
    <tableColumn id="20" xr3:uid="{9944B7EA-5805-4D75-B5C0-AA083A5701D5}" name="Dikte_WVP [m]"/>
    <tableColumn id="21" xr3:uid="{A478357D-3A6F-409A-8348-8EE85E455E3C}" name="k_Holoceen_zand [m/dag]"/>
    <tableColumn id="22" xr3:uid="{10E1AB4D-8884-4D4B-B2BA-83B6F96C96AF}" name="k_Pleistoceen_Zand [m/dag]"/>
    <tableColumn id="23" xr3:uid="{540802BD-9360-431D-B122-4D47BC16C7CF}" name="k_WVP [m/dag]"/>
    <tableColumn id="27" xr3:uid="{3612CEDF-5F2C-446D-B5EB-55DAA0221D5F}" name="kD_WVP [m2/dag]" dataCellStyle="Input"/>
    <tableColumn id="30" xr3:uid="{DCB55C6F-BB77-420E-B2F1-CC504A9A221D}" name="Weerstand_C1_voorland [dagen]"/>
    <tableColumn id="32" xr3:uid="{DE141B59-2615-4782-A88A-036B729BA059}" name="Spreidingslengte_voorland [m]"/>
    <tableColumn id="28" xr3:uid="{178DF362-D71D-4591-8F65-8F9C04C72314}" name="Weerstand_C3_achterland_handmatig [dagen]"/>
    <tableColumn id="29" xr3:uid="{59811D99-5943-4A00-B04A-F64716DB2A40}" name="Weerstand_C3_achterland [dagen]"/>
    <tableColumn id="31" xr3:uid="{9CD55A20-5BA1-45F6-BA61-4B7FE9792B1F}" name="Spreidingslengte_achterland [m]"/>
    <tableColumn id="12" xr3:uid="{7BE185F3-6275-4DB8-BFD4-C75A8E245C07}" name="Geometrische_achterland_lengte [m]"/>
    <tableColumn id="6" xr3:uid="{BF2FDF68-9F04-4B42-9B38-8C1C5E2030B5}" name="D70 [m]"/>
    <tableColumn id="7" xr3:uid="{CAEAB188-6640-4EC1-B563-63F593A6162C}" name="Gamma_sat_deklaag_vak [kN/m3]"/>
    <tableColumn id="33" xr3:uid="{50DB3654-6553-4D93-BAA2-1C290434D3D2}" name="Opmerkingen_ondergrondscenario [-]"/>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7AE99CA-83CB-49AD-B50F-8B34E9430B2A}" name="Table4" displayName="Table4" ref="A1:L25" totalsRowShown="0" headerRowDxfId="3">
  <autoFilter ref="A1:L25" xr:uid="{825FA10B-3922-4036-A6BA-CED4C8FE63A7}"/>
  <tableColumns count="12">
    <tableColumn id="1" xr3:uid="{9777C65C-7C6B-40A5-B9E5-C3C18397F8E7}" name="TableName"/>
    <tableColumn id="2" xr3:uid="{69738CAA-C7B5-4A4C-82C2-A63304EB2DFF}" name="FieldName"/>
    <tableColumn id="3" xr3:uid="{E38E773A-E536-4FB7-87E2-395DBEBE6975}" name="PropertyName"/>
    <tableColumn id="4" xr3:uid="{BE24667A-3056-48A9-A098-2CF93D3CE144}" name="FieldType"/>
    <tableColumn id="5" xr3:uid="{F17C2103-5F64-4537-A05C-836FC9A0A39C}" name="Alias" dataDxfId="2"/>
    <tableColumn id="6" xr3:uid="{C26F35A4-8313-4613-9D5F-2E806EEFC335}" name="Direction" dataDxfId="1"/>
    <tableColumn id="7" xr3:uid="{156A77C0-2716-44A1-A868-FD1E12A2C3C9}" name="Omschrijving" dataDxfId="0"/>
    <tableColumn id="8" xr3:uid="{FAA09BE0-ED64-4F20-B855-94309EB37F2F}" name="Bron" dataCellStyle="Input"/>
    <tableColumn id="9" xr3:uid="{48914F6D-A81D-43E1-AE6D-A4C81FFAD63B}" name="TypeKoppeling" dataCellStyle="Input"/>
    <tableColumn id="10" xr3:uid="{D6361375-2394-4F3F-AF66-5E380DC60C61}" name="InputBestand" dataCellStyle="Input"/>
    <tableColumn id="11" xr3:uid="{5BF37153-AB49-4A5D-A7D7-60962D58C853}" name="InputVeldnaam" dataCellStyle="Input"/>
    <tableColumn id="12" xr3:uid="{2BF769F8-80DE-43FA-B6F9-7446FB54A488}" name="WhereClaus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W1" dT="2020-03-04T10:18:31.21" personId="{871E9503-BAB9-4755-B81B-ED971E661678}" id="{BAC048B3-1431-480D-9B42-0918D64D0AA9}">
    <text>was leklengte</text>
  </threadedComment>
</ThreadedComments>
</file>

<file path=xl/threadedComments/threadedComment2.xml><?xml version="1.0" encoding="utf-8"?>
<ThreadedComments xmlns="http://schemas.microsoft.com/office/spreadsheetml/2018/threadedcomments" xmlns:x="http://schemas.openxmlformats.org/spreadsheetml/2006/main">
  <threadedComment ref="E12" dT="2020-04-29T12:21:16.08" personId="{871E9503-BAB9-4755-B81B-ED971E661678}" id="{D26EEC5D-09B0-43CD-9A96-CA8B98CEC993}">
    <text>Nieuwe lijn. Deze afstand moet gebruikt gaan worden in de toetst van de kritieke pijplengte</text>
  </threadedComment>
  <threadedComment ref="C20" dT="2020-05-12T07:59:21.52" personId="{871E9503-BAB9-4755-B81B-ED971E661678}" id="{86474498-7851-458A-8C58-58AEBE71475E}">
    <text>Gekke naam voor in het script. Aanpassen naar P_S1, P_S2 en P_S3</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hyperlink" Target="mailto:Shape@"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E8247-B2E6-442D-9066-9E6F00B14C37}">
  <dimension ref="A1:L26"/>
  <sheetViews>
    <sheetView showGridLines="0" tabSelected="1" workbookViewId="0"/>
  </sheetViews>
  <sheetFormatPr defaultColWidth="0" defaultRowHeight="14.4" zeroHeight="1" x14ac:dyDescent="0.3"/>
  <cols>
    <col min="1" max="1" width="3.6640625" customWidth="1"/>
    <col min="2" max="2" width="8.6640625" customWidth="1"/>
    <col min="3" max="3" width="17.6640625" customWidth="1"/>
    <col min="4" max="4" width="1.88671875" customWidth="1"/>
    <col min="5" max="5" width="14" bestFit="1" customWidth="1"/>
    <col min="6" max="7" width="8.88671875" customWidth="1"/>
    <col min="8" max="8" width="28.33203125" customWidth="1"/>
    <col min="9" max="11" width="8.88671875" customWidth="1"/>
    <col min="12" max="12" width="3.5546875" customWidth="1"/>
    <col min="13" max="16384" width="8.88671875" hidden="1"/>
  </cols>
  <sheetData>
    <row r="1" spans="2:3" ht="15" customHeight="1" x14ac:dyDescent="0.3"/>
    <row r="2" spans="2:3" s="45" customFormat="1" ht="43.2" customHeight="1" thickBot="1" x14ac:dyDescent="0.45">
      <c r="B2" s="45" t="s">
        <v>255</v>
      </c>
    </row>
    <row r="3" spans="2:3" ht="15" thickTop="1" x14ac:dyDescent="0.3"/>
    <row r="4" spans="2:3" x14ac:dyDescent="0.3">
      <c r="B4" t="s">
        <v>245</v>
      </c>
    </row>
    <row r="5" spans="2:3" x14ac:dyDescent="0.3"/>
    <row r="6" spans="2:3" x14ac:dyDescent="0.3">
      <c r="B6" t="s">
        <v>307</v>
      </c>
    </row>
    <row r="7" spans="2:3" x14ac:dyDescent="0.3"/>
    <row r="8" spans="2:3" ht="16.2" customHeight="1" x14ac:dyDescent="0.3">
      <c r="B8" t="s">
        <v>244</v>
      </c>
    </row>
    <row r="9" spans="2:3" ht="6.6" customHeight="1" x14ac:dyDescent="0.3"/>
    <row r="10" spans="2:3" x14ac:dyDescent="0.3">
      <c r="B10" s="46" t="s">
        <v>106</v>
      </c>
      <c r="C10" t="s">
        <v>251</v>
      </c>
    </row>
    <row r="11" spans="2:3" x14ac:dyDescent="0.3">
      <c r="B11" s="46" t="s">
        <v>106</v>
      </c>
      <c r="C11" t="s">
        <v>252</v>
      </c>
    </row>
    <row r="12" spans="2:3" x14ac:dyDescent="0.3">
      <c r="B12" s="46" t="s">
        <v>106</v>
      </c>
      <c r="C12" t="s">
        <v>254</v>
      </c>
    </row>
    <row r="13" spans="2:3" x14ac:dyDescent="0.3">
      <c r="B13" s="46" t="s">
        <v>106</v>
      </c>
      <c r="C13" t="s">
        <v>253</v>
      </c>
    </row>
    <row r="14" spans="2:3" x14ac:dyDescent="0.3"/>
    <row r="15" spans="2:3" x14ac:dyDescent="0.3">
      <c r="B15" s="47" t="s">
        <v>246</v>
      </c>
    </row>
    <row r="16" spans="2:3" ht="6" customHeight="1" x14ac:dyDescent="0.3">
      <c r="B16" s="47"/>
    </row>
    <row r="17" spans="3:5" x14ac:dyDescent="0.3">
      <c r="C17" s="35" t="s">
        <v>247</v>
      </c>
    </row>
    <row r="18" spans="3:5" x14ac:dyDescent="0.3">
      <c r="C18" s="48" t="s">
        <v>248</v>
      </c>
      <c r="E18" t="s">
        <v>249</v>
      </c>
    </row>
    <row r="19" spans="3:5" x14ac:dyDescent="0.3">
      <c r="C19" s="49" t="s">
        <v>81</v>
      </c>
      <c r="E19" t="s">
        <v>249</v>
      </c>
    </row>
    <row r="20" spans="3:5" x14ac:dyDescent="0.3"/>
    <row r="21" spans="3:5" hidden="1" x14ac:dyDescent="0.3"/>
    <row r="22" spans="3:5" hidden="1" x14ac:dyDescent="0.3"/>
    <row r="23" spans="3:5" hidden="1" x14ac:dyDescent="0.3"/>
    <row r="24" spans="3:5" hidden="1" x14ac:dyDescent="0.3"/>
    <row r="25" spans="3:5" hidden="1" x14ac:dyDescent="0.3"/>
    <row r="26" spans="3:5" hidden="1" x14ac:dyDescent="0.3"/>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F6D3C-3EFB-400B-8FDA-6807AB068185}">
  <sheetPr codeName="Sheet3"/>
  <dimension ref="A1:J47"/>
  <sheetViews>
    <sheetView workbookViewId="0"/>
  </sheetViews>
  <sheetFormatPr defaultColWidth="0" defaultRowHeight="14.4" zeroHeight="1" x14ac:dyDescent="0.3"/>
  <cols>
    <col min="1" max="1" width="2.44140625" customWidth="1"/>
    <col min="2" max="2" width="34.44140625" style="22" customWidth="1"/>
    <col min="3" max="3" width="34.44140625" style="22" hidden="1" customWidth="1"/>
    <col min="4" max="4" width="14.109375" style="10" bestFit="1" customWidth="1"/>
    <col min="5" max="5" width="123.109375" customWidth="1"/>
    <col min="6" max="6" width="18.33203125" style="10" customWidth="1"/>
    <col min="7" max="7" width="22.44140625" style="10" customWidth="1"/>
    <col min="8" max="8" width="12.44140625" style="10" bestFit="1" customWidth="1"/>
    <col min="9" max="9" width="2.6640625" customWidth="1"/>
    <col min="10" max="10" width="22.44140625" hidden="1" customWidth="1"/>
    <col min="11" max="16384" width="8.88671875" hidden="1"/>
  </cols>
  <sheetData>
    <row r="1" spans="1:10" ht="10.199999999999999" customHeight="1" x14ac:dyDescent="0.3"/>
    <row r="2" spans="1:10" s="16" customFormat="1" ht="18" thickBot="1" x14ac:dyDescent="0.4">
      <c r="A2"/>
      <c r="B2" s="23" t="s">
        <v>152</v>
      </c>
      <c r="C2" s="23"/>
      <c r="D2" s="17"/>
      <c r="F2" s="17"/>
      <c r="G2" s="17"/>
      <c r="H2" s="17"/>
      <c r="I2"/>
    </row>
    <row r="3" spans="1:10" s="16" customFormat="1" ht="9" customHeight="1" thickTop="1" thickBot="1" x14ac:dyDescent="0.4">
      <c r="A3"/>
      <c r="B3" s="42"/>
      <c r="C3" s="42"/>
      <c r="D3" s="43"/>
      <c r="E3" s="44"/>
      <c r="F3" s="43"/>
      <c r="G3" s="43"/>
      <c r="H3" s="43"/>
      <c r="I3"/>
    </row>
    <row r="4" spans="1:10" s="1" customFormat="1" ht="15" thickTop="1" x14ac:dyDescent="0.3">
      <c r="A4"/>
      <c r="B4" s="24" t="s">
        <v>75</v>
      </c>
      <c r="C4" s="24" t="s">
        <v>185</v>
      </c>
      <c r="D4" s="15" t="s">
        <v>129</v>
      </c>
      <c r="E4" s="1" t="s">
        <v>1</v>
      </c>
      <c r="F4" s="15" t="s">
        <v>81</v>
      </c>
      <c r="G4" s="15" t="s">
        <v>131</v>
      </c>
      <c r="H4" s="15" t="s">
        <v>76</v>
      </c>
      <c r="I4"/>
    </row>
    <row r="5" spans="1:10" x14ac:dyDescent="0.3">
      <c r="B5" s="22" t="s">
        <v>153</v>
      </c>
      <c r="C5" s="22" t="s">
        <v>193</v>
      </c>
      <c r="D5" s="21" t="s">
        <v>90</v>
      </c>
      <c r="E5" t="s">
        <v>91</v>
      </c>
      <c r="F5" s="10">
        <v>0.24</v>
      </c>
      <c r="G5" s="11">
        <f>F5</f>
        <v>0.24</v>
      </c>
      <c r="H5" s="10" t="s">
        <v>106</v>
      </c>
    </row>
    <row r="6" spans="1:10" x14ac:dyDescent="0.3">
      <c r="B6" s="22" t="s">
        <v>93</v>
      </c>
      <c r="C6" s="28" t="s">
        <v>92</v>
      </c>
      <c r="D6" s="21" t="s">
        <v>92</v>
      </c>
      <c r="E6" t="s">
        <v>94</v>
      </c>
      <c r="F6" s="10" t="s">
        <v>106</v>
      </c>
      <c r="G6" s="12">
        <v>46859.32</v>
      </c>
      <c r="H6" s="10" t="s">
        <v>133</v>
      </c>
    </row>
    <row r="7" spans="1:10" x14ac:dyDescent="0.3">
      <c r="B7" s="22" t="s">
        <v>151</v>
      </c>
      <c r="C7" s="28" t="s">
        <v>195</v>
      </c>
      <c r="D7" s="21" t="s">
        <v>95</v>
      </c>
      <c r="E7" t="s">
        <v>104</v>
      </c>
      <c r="F7" s="10" t="s">
        <v>97</v>
      </c>
      <c r="G7" s="12">
        <v>0.9</v>
      </c>
      <c r="H7" s="10" t="s">
        <v>106</v>
      </c>
      <c r="J7">
        <v>0.4</v>
      </c>
    </row>
    <row r="8" spans="1:10" x14ac:dyDescent="0.3">
      <c r="B8" s="22" t="s">
        <v>184</v>
      </c>
      <c r="C8" s="28" t="s">
        <v>196</v>
      </c>
      <c r="D8" s="21" t="s">
        <v>98</v>
      </c>
      <c r="E8" t="s">
        <v>96</v>
      </c>
      <c r="F8" s="10">
        <v>300</v>
      </c>
      <c r="G8" s="11">
        <f>F8</f>
        <v>300</v>
      </c>
      <c r="H8" s="10" t="s">
        <v>133</v>
      </c>
      <c r="J8">
        <v>0.9</v>
      </c>
    </row>
    <row r="9" spans="1:10" ht="28.8" x14ac:dyDescent="0.3">
      <c r="B9" s="22" t="s">
        <v>100</v>
      </c>
      <c r="C9" s="22" t="s">
        <v>197</v>
      </c>
      <c r="D9" s="10" t="s">
        <v>99</v>
      </c>
      <c r="E9" s="3" t="s">
        <v>117</v>
      </c>
      <c r="F9" s="10" t="s">
        <v>106</v>
      </c>
      <c r="G9" s="18">
        <v>30000</v>
      </c>
      <c r="H9" s="10" t="s">
        <v>142</v>
      </c>
    </row>
    <row r="10" spans="1:10" ht="28.8" x14ac:dyDescent="0.3">
      <c r="B10" s="22" t="s">
        <v>102</v>
      </c>
      <c r="C10" s="22" t="s">
        <v>198</v>
      </c>
      <c r="D10" s="10" t="s">
        <v>101</v>
      </c>
      <c r="E10" s="3" t="s">
        <v>118</v>
      </c>
      <c r="F10" s="10" t="s">
        <v>106</v>
      </c>
      <c r="G10" s="18">
        <v>10000</v>
      </c>
      <c r="H10" s="10" t="s">
        <v>142</v>
      </c>
    </row>
    <row r="11" spans="1:10" x14ac:dyDescent="0.3">
      <c r="B11" s="28" t="s">
        <v>213</v>
      </c>
      <c r="C11" s="30" t="s">
        <v>211</v>
      </c>
      <c r="D11" s="10" t="s">
        <v>212</v>
      </c>
      <c r="E11" s="3" t="s">
        <v>199</v>
      </c>
      <c r="F11" s="10" t="s">
        <v>106</v>
      </c>
      <c r="G11" s="18" t="s">
        <v>102</v>
      </c>
      <c r="H11" s="10" t="s">
        <v>106</v>
      </c>
      <c r="J11" t="s">
        <v>100</v>
      </c>
    </row>
    <row r="12" spans="1:10" x14ac:dyDescent="0.3">
      <c r="J12" t="s">
        <v>102</v>
      </c>
    </row>
    <row r="13" spans="1:10" s="16" customFormat="1" ht="18" thickBot="1" x14ac:dyDescent="0.4">
      <c r="A13"/>
      <c r="B13" s="23" t="s">
        <v>116</v>
      </c>
      <c r="C13" s="23"/>
      <c r="D13" s="17"/>
      <c r="F13" s="17"/>
      <c r="G13" s="17"/>
      <c r="H13" s="17"/>
      <c r="I13"/>
    </row>
    <row r="14" spans="1:10" s="16" customFormat="1" ht="7.2" customHeight="1" thickTop="1" thickBot="1" x14ac:dyDescent="0.4">
      <c r="A14"/>
      <c r="B14" s="42"/>
      <c r="C14" s="42"/>
      <c r="D14" s="43"/>
      <c r="E14" s="44"/>
      <c r="F14" s="43"/>
      <c r="G14" s="43"/>
      <c r="H14" s="43"/>
      <c r="I14"/>
    </row>
    <row r="15" spans="1:10" s="1" customFormat="1" ht="15" thickTop="1" x14ac:dyDescent="0.3">
      <c r="A15"/>
      <c r="B15" s="24" t="s">
        <v>75</v>
      </c>
      <c r="C15" s="24" t="s">
        <v>185</v>
      </c>
      <c r="D15" s="15" t="s">
        <v>129</v>
      </c>
      <c r="E15" s="1" t="s">
        <v>1</v>
      </c>
      <c r="F15" s="15" t="s">
        <v>81</v>
      </c>
      <c r="G15" s="15" t="s">
        <v>131</v>
      </c>
      <c r="H15" s="15" t="s">
        <v>76</v>
      </c>
      <c r="I15"/>
    </row>
    <row r="16" spans="1:10" x14ac:dyDescent="0.3">
      <c r="B16" s="22" t="s">
        <v>77</v>
      </c>
      <c r="C16" s="22" t="s">
        <v>78</v>
      </c>
      <c r="D16" s="10" t="s">
        <v>78</v>
      </c>
      <c r="E16" t="s">
        <v>159</v>
      </c>
      <c r="F16" s="10">
        <v>1</v>
      </c>
      <c r="G16" s="11">
        <f>F16</f>
        <v>1</v>
      </c>
      <c r="H16" s="10" t="s">
        <v>106</v>
      </c>
    </row>
    <row r="17" spans="2:9" x14ac:dyDescent="0.3">
      <c r="B17" s="28" t="s">
        <v>119</v>
      </c>
      <c r="C17" s="28" t="s">
        <v>187</v>
      </c>
      <c r="D17" s="21" t="s">
        <v>120</v>
      </c>
      <c r="E17" t="s">
        <v>121</v>
      </c>
      <c r="F17" s="20">
        <f>1.33*10^-6</f>
        <v>1.33E-6</v>
      </c>
      <c r="G17" s="19">
        <f>F17</f>
        <v>1.33E-6</v>
      </c>
      <c r="H17" s="10" t="s">
        <v>140</v>
      </c>
    </row>
    <row r="18" spans="2:9" x14ac:dyDescent="0.3">
      <c r="B18" s="28" t="s">
        <v>122</v>
      </c>
      <c r="C18" s="28" t="s">
        <v>188</v>
      </c>
      <c r="D18" s="21" t="s">
        <v>123</v>
      </c>
      <c r="E18" t="s">
        <v>132</v>
      </c>
      <c r="F18" s="10">
        <v>37</v>
      </c>
      <c r="G18" s="11">
        <v>37</v>
      </c>
      <c r="H18" s="21" t="s">
        <v>139</v>
      </c>
    </row>
    <row r="19" spans="2:9" x14ac:dyDescent="0.3">
      <c r="B19" s="28" t="s">
        <v>125</v>
      </c>
      <c r="C19" s="28" t="s">
        <v>189</v>
      </c>
      <c r="D19" s="21" t="s">
        <v>124</v>
      </c>
      <c r="E19" t="s">
        <v>126</v>
      </c>
      <c r="F19" s="10">
        <v>0.25</v>
      </c>
      <c r="G19" s="11">
        <f>F19</f>
        <v>0.25</v>
      </c>
      <c r="H19" s="10" t="s">
        <v>106</v>
      </c>
    </row>
    <row r="20" spans="2:9" x14ac:dyDescent="0.3">
      <c r="B20" s="28" t="s">
        <v>154</v>
      </c>
      <c r="C20" s="28" t="s">
        <v>190</v>
      </c>
      <c r="D20" s="21" t="s">
        <v>128</v>
      </c>
      <c r="E20" t="s">
        <v>130</v>
      </c>
      <c r="F20" s="20">
        <f>2.08*10^-4</f>
        <v>2.0800000000000001E-4</v>
      </c>
      <c r="G20" s="19">
        <f>F20</f>
        <v>2.0800000000000001E-4</v>
      </c>
      <c r="H20" s="10" t="s">
        <v>133</v>
      </c>
    </row>
    <row r="21" spans="2:9" x14ac:dyDescent="0.3">
      <c r="B21" s="28" t="s">
        <v>127</v>
      </c>
      <c r="C21" s="28" t="s">
        <v>127</v>
      </c>
      <c r="D21" s="21" t="s">
        <v>136</v>
      </c>
      <c r="E21" t="s">
        <v>137</v>
      </c>
      <c r="F21" s="10">
        <v>26</v>
      </c>
      <c r="G21" s="11">
        <f>F21</f>
        <v>26</v>
      </c>
      <c r="H21" s="10" t="s">
        <v>138</v>
      </c>
    </row>
    <row r="22" spans="2:9" x14ac:dyDescent="0.3">
      <c r="B22" s="22" t="s">
        <v>84</v>
      </c>
      <c r="C22" s="22" t="s">
        <v>84</v>
      </c>
      <c r="D22" s="21" t="s">
        <v>135</v>
      </c>
      <c r="E22" t="s">
        <v>85</v>
      </c>
      <c r="F22" s="10">
        <v>9.81</v>
      </c>
      <c r="G22" s="11">
        <f>F22</f>
        <v>9.81</v>
      </c>
      <c r="H22" s="10" t="s">
        <v>138</v>
      </c>
    </row>
    <row r="23" spans="2:9" x14ac:dyDescent="0.3">
      <c r="B23" s="22" t="s">
        <v>183</v>
      </c>
      <c r="C23" s="22" t="s">
        <v>191</v>
      </c>
      <c r="D23" s="10" t="s">
        <v>80</v>
      </c>
      <c r="E23" t="s">
        <v>79</v>
      </c>
      <c r="F23" s="10">
        <v>0.3</v>
      </c>
      <c r="G23" s="11">
        <f>F23</f>
        <v>0.3</v>
      </c>
      <c r="H23" s="10" t="s">
        <v>106</v>
      </c>
    </row>
    <row r="24" spans="2:9" ht="28.8" x14ac:dyDescent="0.3">
      <c r="B24" s="22" t="s">
        <v>82</v>
      </c>
      <c r="C24" s="22" t="s">
        <v>82</v>
      </c>
      <c r="D24" s="10" t="s">
        <v>106</v>
      </c>
      <c r="E24" s="3" t="s">
        <v>134</v>
      </c>
      <c r="F24" s="10" t="s">
        <v>83</v>
      </c>
      <c r="G24" s="14">
        <f>1/3</f>
        <v>0.33333333333333331</v>
      </c>
      <c r="H24" s="10" t="s">
        <v>106</v>
      </c>
    </row>
    <row r="25" spans="2:9" x14ac:dyDescent="0.3">
      <c r="B25" s="22" t="s">
        <v>87</v>
      </c>
      <c r="C25" s="22" t="s">
        <v>86</v>
      </c>
      <c r="D25" s="21" t="s">
        <v>86</v>
      </c>
      <c r="E25" s="3" t="s">
        <v>159</v>
      </c>
      <c r="F25" s="10">
        <v>1</v>
      </c>
      <c r="G25" s="11">
        <f>F25</f>
        <v>1</v>
      </c>
      <c r="H25" s="10" t="s">
        <v>106</v>
      </c>
    </row>
    <row r="26" spans="2:9" x14ac:dyDescent="0.3">
      <c r="B26" s="22" t="s">
        <v>157</v>
      </c>
      <c r="C26" s="30" t="s">
        <v>158</v>
      </c>
      <c r="D26" s="21" t="s">
        <v>158</v>
      </c>
      <c r="E26" s="3" t="s">
        <v>159</v>
      </c>
      <c r="F26" s="10">
        <v>1</v>
      </c>
      <c r="G26" s="11">
        <f>F26</f>
        <v>1</v>
      </c>
    </row>
    <row r="27" spans="2:9" x14ac:dyDescent="0.3">
      <c r="B27" s="22" t="s">
        <v>89</v>
      </c>
      <c r="C27" s="22" t="s">
        <v>192</v>
      </c>
      <c r="D27" s="21" t="s">
        <v>88</v>
      </c>
      <c r="E27" t="s">
        <v>141</v>
      </c>
      <c r="F27" s="10">
        <v>0.3</v>
      </c>
      <c r="G27" s="11">
        <f>F27</f>
        <v>0.3</v>
      </c>
      <c r="H27" s="10" t="s">
        <v>106</v>
      </c>
    </row>
    <row r="28" spans="2:9" x14ac:dyDescent="0.3"/>
    <row r="29" spans="2:9" s="16" customFormat="1" ht="18" thickBot="1" x14ac:dyDescent="0.4">
      <c r="B29" s="23" t="s">
        <v>103</v>
      </c>
      <c r="C29" s="23"/>
      <c r="D29" s="17"/>
      <c r="F29" s="17"/>
      <c r="G29" s="17"/>
      <c r="H29" s="17"/>
      <c r="I29"/>
    </row>
    <row r="30" spans="2:9" s="16" customFormat="1" ht="10.199999999999999" customHeight="1" thickTop="1" thickBot="1" x14ac:dyDescent="0.4">
      <c r="B30" s="42"/>
      <c r="C30" s="42"/>
      <c r="D30" s="43"/>
      <c r="E30" s="44"/>
      <c r="F30" s="43"/>
      <c r="G30" s="43"/>
      <c r="H30" s="43"/>
      <c r="I30"/>
    </row>
    <row r="31" spans="2:9" s="1" customFormat="1" ht="15" thickTop="1" x14ac:dyDescent="0.3">
      <c r="B31" s="24" t="s">
        <v>75</v>
      </c>
      <c r="C31" s="24" t="s">
        <v>185</v>
      </c>
      <c r="D31" s="15" t="s">
        <v>129</v>
      </c>
      <c r="E31" s="1" t="s">
        <v>1</v>
      </c>
      <c r="F31" s="15" t="s">
        <v>81</v>
      </c>
      <c r="G31" s="15" t="s">
        <v>131</v>
      </c>
      <c r="H31" s="15" t="s">
        <v>76</v>
      </c>
      <c r="I31"/>
    </row>
    <row r="32" spans="2:9" ht="33.75" customHeight="1" x14ac:dyDescent="0.3">
      <c r="B32" s="25" t="s">
        <v>108</v>
      </c>
      <c r="C32" s="25" t="s">
        <v>194</v>
      </c>
      <c r="D32" s="10" t="s">
        <v>106</v>
      </c>
      <c r="E32" s="3" t="s">
        <v>107</v>
      </c>
      <c r="F32" s="10" t="s">
        <v>106</v>
      </c>
      <c r="G32" s="9" t="s">
        <v>110</v>
      </c>
      <c r="H32" s="10" t="s">
        <v>106</v>
      </c>
    </row>
    <row r="33" spans="2:10" x14ac:dyDescent="0.3">
      <c r="B33" s="22" t="s">
        <v>114</v>
      </c>
      <c r="C33" s="30"/>
      <c r="D33" s="10" t="s">
        <v>106</v>
      </c>
      <c r="E33" t="s">
        <v>111</v>
      </c>
      <c r="F33" s="10" t="s">
        <v>106</v>
      </c>
      <c r="G33" s="13" t="str">
        <f>IF(G32=J34,"Geohydrologisch model","TRWD2004")</f>
        <v>Geohydrologisch model</v>
      </c>
      <c r="H33" s="10" t="s">
        <v>106</v>
      </c>
      <c r="J33" t="s">
        <v>109</v>
      </c>
    </row>
    <row r="34" spans="2:10" x14ac:dyDescent="0.3">
      <c r="B34" s="22" t="s">
        <v>112</v>
      </c>
      <c r="C34" s="30"/>
      <c r="D34" s="10" t="s">
        <v>106</v>
      </c>
      <c r="E34" s="3" t="s">
        <v>221</v>
      </c>
      <c r="F34" s="10" t="s">
        <v>106</v>
      </c>
      <c r="G34" s="13" t="str">
        <f>IF(rekenmethodiekLeklengte="Analytisch","Ondergrondscenarios","GIS-lijn")</f>
        <v>GIS-lijn</v>
      </c>
      <c r="H34" s="10" t="s">
        <v>106</v>
      </c>
      <c r="J34" t="s">
        <v>110</v>
      </c>
    </row>
    <row r="35" spans="2:10" ht="28.8" x14ac:dyDescent="0.3">
      <c r="B35" s="22" t="s">
        <v>228</v>
      </c>
      <c r="C35" s="30" t="s">
        <v>229</v>
      </c>
      <c r="D35" s="10" t="s">
        <v>106</v>
      </c>
      <c r="E35" s="3" t="s">
        <v>230</v>
      </c>
      <c r="F35" s="39" t="s">
        <v>231</v>
      </c>
      <c r="G35" s="13" t="s">
        <v>232</v>
      </c>
      <c r="J35" t="s">
        <v>232</v>
      </c>
    </row>
    <row r="36" spans="2:10" x14ac:dyDescent="0.3">
      <c r="B36" s="22" t="s">
        <v>233</v>
      </c>
      <c r="C36" s="30" t="s">
        <v>234</v>
      </c>
      <c r="D36" s="10" t="s">
        <v>235</v>
      </c>
      <c r="E36" s="3" t="s">
        <v>236</v>
      </c>
      <c r="F36" s="10" t="s">
        <v>106</v>
      </c>
      <c r="G36" s="12">
        <v>0.1</v>
      </c>
      <c r="J36" t="s">
        <v>250</v>
      </c>
    </row>
    <row r="37" spans="2:10" x14ac:dyDescent="0.3">
      <c r="B37" s="22" t="s">
        <v>237</v>
      </c>
      <c r="C37" s="30" t="s">
        <v>238</v>
      </c>
      <c r="D37" s="10" t="s">
        <v>106</v>
      </c>
      <c r="E37" s="3" t="s">
        <v>239</v>
      </c>
      <c r="F37" s="10">
        <v>0.05</v>
      </c>
      <c r="G37" s="12">
        <v>0.05</v>
      </c>
    </row>
    <row r="38" spans="2:10" ht="43.2" x14ac:dyDescent="0.3">
      <c r="B38" s="22" t="s">
        <v>113</v>
      </c>
      <c r="C38" s="30"/>
      <c r="D38" s="10" t="s">
        <v>106</v>
      </c>
      <c r="E38" s="3" t="s">
        <v>115</v>
      </c>
      <c r="F38" s="10" t="s">
        <v>106</v>
      </c>
      <c r="G38" s="13" t="str">
        <f>IF(G32=J34,"n.v.t.","Ondergrondscenario")</f>
        <v>n.v.t.</v>
      </c>
      <c r="H38" s="10" t="s">
        <v>106</v>
      </c>
    </row>
    <row r="39" spans="2:10" ht="45" customHeight="1" x14ac:dyDescent="0.3">
      <c r="B39" s="22" t="s">
        <v>143</v>
      </c>
      <c r="C39" s="22" t="s">
        <v>143</v>
      </c>
      <c r="D39" s="10" t="s">
        <v>149</v>
      </c>
      <c r="E39" s="3" t="s">
        <v>147</v>
      </c>
      <c r="F39" s="10">
        <v>0.1</v>
      </c>
      <c r="G39" s="12">
        <v>0.1</v>
      </c>
      <c r="H39" s="10" t="s">
        <v>105</v>
      </c>
    </row>
    <row r="40" spans="2:10" ht="28.8" x14ac:dyDescent="0.3">
      <c r="B40" s="22" t="s">
        <v>144</v>
      </c>
      <c r="C40" s="22" t="s">
        <v>144</v>
      </c>
      <c r="D40" s="10" t="s">
        <v>150</v>
      </c>
      <c r="E40" s="3" t="s">
        <v>146</v>
      </c>
      <c r="F40" s="10">
        <v>0.01</v>
      </c>
      <c r="G40" s="12">
        <v>0.01</v>
      </c>
      <c r="H40" s="10" t="s">
        <v>105</v>
      </c>
    </row>
    <row r="41" spans="2:10" ht="28.8" x14ac:dyDescent="0.3">
      <c r="B41" s="22" t="s">
        <v>145</v>
      </c>
      <c r="C41" s="22" t="s">
        <v>145</v>
      </c>
      <c r="D41" s="10" t="s">
        <v>106</v>
      </c>
      <c r="E41" s="3" t="s">
        <v>148</v>
      </c>
      <c r="F41" s="10">
        <v>1.5</v>
      </c>
      <c r="G41" s="12">
        <v>1.5</v>
      </c>
      <c r="H41" s="10" t="s">
        <v>133</v>
      </c>
    </row>
    <row r="42" spans="2:10" x14ac:dyDescent="0.3"/>
    <row r="43" spans="2:10" hidden="1" x14ac:dyDescent="0.3">
      <c r="B43" s="24" t="s">
        <v>218</v>
      </c>
    </row>
    <row r="44" spans="2:10" hidden="1" x14ac:dyDescent="0.3">
      <c r="B44" t="s">
        <v>106</v>
      </c>
    </row>
    <row r="45" spans="2:10" hidden="1" x14ac:dyDescent="0.3">
      <c r="B45" t="s">
        <v>173</v>
      </c>
    </row>
    <row r="46" spans="2:10" hidden="1" x14ac:dyDescent="0.3">
      <c r="B46" t="s">
        <v>174</v>
      </c>
    </row>
    <row r="47" spans="2:10" hidden="1" x14ac:dyDescent="0.3">
      <c r="B47" t="s">
        <v>175</v>
      </c>
    </row>
  </sheetData>
  <dataValidations count="4">
    <dataValidation type="list" allowBlank="1" showInputMessage="1" showErrorMessage="1" sqref="G32" xr:uid="{252B3BE2-7BC5-4D1F-8380-F4FFEDBB990B}">
      <formula1>$J$33:$J$34</formula1>
    </dataValidation>
    <dataValidation type="list" allowBlank="1" showInputMessage="1" showErrorMessage="1" sqref="G7" xr:uid="{55E57E6D-F8D9-4F65-991C-3A9A96E17CAF}">
      <formula1>$J$7:$J$8</formula1>
    </dataValidation>
    <dataValidation type="list" allowBlank="1" showInputMessage="1" showErrorMessage="1" sqref="G11" xr:uid="{4A7A03FD-8272-4078-B260-BE0916C216A8}">
      <formula1>Overstromingskans</formula1>
    </dataValidation>
    <dataValidation type="list" allowBlank="1" showInputMessage="1" showErrorMessage="1" sqref="G35" xr:uid="{48D2C80A-CFF8-4884-9D77-A316599EAEF6}">
      <formula1>$J$35:$J$36</formula1>
    </dataValidation>
  </dataValidations>
  <pageMargins left="0.7" right="0.7" top="0.75" bottom="0.75" header="0.3" footer="0.3"/>
  <pageSetup paperSize="9" orientation="portrait"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F31E7-693C-4E80-ADB5-AD5A319429FD}">
  <sheetPr codeName="Sheet4"/>
  <dimension ref="A1:J101"/>
  <sheetViews>
    <sheetView workbookViewId="0">
      <selection activeCell="C16" sqref="C16"/>
    </sheetView>
  </sheetViews>
  <sheetFormatPr defaultColWidth="0" defaultRowHeight="14.4" zeroHeight="1" x14ac:dyDescent="0.3"/>
  <cols>
    <col min="1" max="1" width="8.44140625" bestFit="1" customWidth="1"/>
    <col min="2" max="2" width="15.88671875" style="34" bestFit="1" customWidth="1"/>
    <col min="3" max="3" width="29.6640625" style="34" bestFit="1" customWidth="1"/>
    <col min="4" max="4" width="35.44140625" style="34" bestFit="1" customWidth="1"/>
    <col min="5" max="5" width="30.33203125" style="34" bestFit="1" customWidth="1"/>
    <col min="6" max="6" width="28.44140625" style="34" bestFit="1" customWidth="1"/>
    <col min="7" max="7" width="30.5546875" style="34" bestFit="1" customWidth="1"/>
    <col min="8" max="8" width="33.33203125" style="34" bestFit="1" customWidth="1"/>
    <col min="9" max="9" width="35.44140625" style="34" bestFit="1" customWidth="1"/>
    <col min="10" max="10" width="4.88671875" customWidth="1"/>
    <col min="11" max="16384" width="8.88671875" hidden="1"/>
  </cols>
  <sheetData>
    <row r="1" spans="1:9" x14ac:dyDescent="0.3">
      <c r="A1" t="s">
        <v>166</v>
      </c>
      <c r="B1" s="34" t="s">
        <v>167</v>
      </c>
      <c r="C1" s="34" t="s">
        <v>176</v>
      </c>
      <c r="D1" s="34" t="s">
        <v>216</v>
      </c>
      <c r="E1" s="34" t="s">
        <v>177</v>
      </c>
      <c r="F1" s="34" t="s">
        <v>178</v>
      </c>
      <c r="G1" s="34" t="s">
        <v>179</v>
      </c>
      <c r="H1" s="34" t="s">
        <v>160</v>
      </c>
      <c r="I1" s="34" t="s">
        <v>161</v>
      </c>
    </row>
    <row r="2" spans="1:9" x14ac:dyDescent="0.3">
      <c r="A2">
        <f>IFERROR(IF(DataDijkvakken[[#This Row],[Vaknaam '[-']]]="","",A1+1),1)</f>
        <v>1</v>
      </c>
      <c r="B2" s="35" t="s">
        <v>256</v>
      </c>
      <c r="C2" s="35">
        <v>3.1101967096774192</v>
      </c>
      <c r="D2" s="35">
        <v>18</v>
      </c>
      <c r="E2" s="35">
        <v>65</v>
      </c>
      <c r="F2" s="35">
        <v>15</v>
      </c>
      <c r="G2" s="35">
        <v>40.192307692307693</v>
      </c>
      <c r="H2" s="35">
        <v>2.9999999999999997E-4</v>
      </c>
      <c r="I2" s="35">
        <v>3.5000000000000005E-4</v>
      </c>
    </row>
    <row r="3" spans="1:9" x14ac:dyDescent="0.3">
      <c r="A3">
        <f>IFERROR(IF(DataDijkvakken[[#This Row],[Vaknaam '[-']]]="","",A2+1),1)</f>
        <v>2</v>
      </c>
      <c r="B3" s="35" t="s">
        <v>257</v>
      </c>
      <c r="C3" s="35">
        <v>3.5595398666666664</v>
      </c>
      <c r="D3" s="35">
        <v>18</v>
      </c>
      <c r="E3" s="35">
        <v>65</v>
      </c>
      <c r="F3" s="35">
        <v>15</v>
      </c>
      <c r="G3" s="35">
        <v>40.192307692307693</v>
      </c>
      <c r="H3" s="35">
        <v>2.9999999999999997E-4</v>
      </c>
      <c r="I3" s="35">
        <v>3.5000000000000005E-4</v>
      </c>
    </row>
    <row r="4" spans="1:9" ht="15.75" customHeight="1" x14ac:dyDescent="0.3">
      <c r="A4">
        <f>IFERROR(IF(DataDijkvakken[[#This Row],[Vaknaam '[-']]]="","",A3+1),1)</f>
        <v>3</v>
      </c>
      <c r="B4" s="35" t="s">
        <v>258</v>
      </c>
      <c r="C4" s="35">
        <v>3.0566952499999998</v>
      </c>
      <c r="D4" s="35">
        <v>18</v>
      </c>
      <c r="E4" s="35">
        <v>65</v>
      </c>
      <c r="F4" s="35">
        <v>15</v>
      </c>
      <c r="G4" s="35">
        <v>40.192307692307693</v>
      </c>
      <c r="H4" s="35">
        <v>2.8000000000000003E-4</v>
      </c>
      <c r="I4" s="35">
        <v>3.5000000000000005E-4</v>
      </c>
    </row>
    <row r="5" spans="1:9" x14ac:dyDescent="0.3">
      <c r="A5">
        <f>IFERROR(IF(DataDijkvakken[[#This Row],[Vaknaam '[-']]]="","",A4+1),1)</f>
        <v>4</v>
      </c>
      <c r="B5" s="35" t="s">
        <v>259</v>
      </c>
      <c r="C5" s="35">
        <v>3.2648431250000001</v>
      </c>
      <c r="D5" s="35">
        <v>18</v>
      </c>
      <c r="E5" s="35">
        <v>65</v>
      </c>
      <c r="F5" s="35">
        <v>15</v>
      </c>
      <c r="G5" s="35">
        <v>40.192307692307693</v>
      </c>
      <c r="H5" s="35">
        <v>2.8000000000000003E-4</v>
      </c>
      <c r="I5" s="35">
        <v>3.5000000000000005E-4</v>
      </c>
    </row>
    <row r="6" spans="1:9" x14ac:dyDescent="0.3">
      <c r="A6">
        <f>IFERROR(IF(DataDijkvakken[[#This Row],[Vaknaam '[-']]]="","",A5+1),1)</f>
        <v>5</v>
      </c>
      <c r="B6" s="35" t="s">
        <v>260</v>
      </c>
      <c r="C6" s="35">
        <v>4.0806027826086959</v>
      </c>
      <c r="D6" s="35">
        <v>18</v>
      </c>
      <c r="E6" s="35">
        <v>65</v>
      </c>
      <c r="F6" s="35">
        <v>15</v>
      </c>
      <c r="G6" s="35">
        <v>40.192307692307693</v>
      </c>
      <c r="H6" s="35">
        <v>2.8000000000000003E-4</v>
      </c>
      <c r="I6" s="35">
        <v>3.5000000000000005E-4</v>
      </c>
    </row>
    <row r="7" spans="1:9" x14ac:dyDescent="0.3">
      <c r="A7">
        <f>IFERROR(IF(DataDijkvakken[[#This Row],[Vaknaam '[-']]]="","",A6+1),1)</f>
        <v>6</v>
      </c>
      <c r="B7" s="35" t="s">
        <v>261</v>
      </c>
      <c r="C7" s="35">
        <v>3.1535709090909094</v>
      </c>
      <c r="D7" s="35">
        <v>18</v>
      </c>
      <c r="E7" s="35">
        <v>49.5</v>
      </c>
      <c r="F7" s="35">
        <v>15</v>
      </c>
      <c r="G7" s="35">
        <v>42.676767676767675</v>
      </c>
      <c r="H7" s="35">
        <v>2.8000000000000003E-4</v>
      </c>
      <c r="I7" s="35">
        <v>3.5000000000000005E-4</v>
      </c>
    </row>
    <row r="8" spans="1:9" x14ac:dyDescent="0.3">
      <c r="A8">
        <f>IFERROR(IF(DataDijkvakken[[#This Row],[Vaknaam '[-']]]="","",A7+1),1)</f>
        <v>7</v>
      </c>
      <c r="B8" s="35" t="s">
        <v>262</v>
      </c>
      <c r="C8" s="35">
        <v>2.3170791538461541</v>
      </c>
      <c r="D8" s="35">
        <v>18</v>
      </c>
      <c r="E8" s="35">
        <v>49.5</v>
      </c>
      <c r="F8" s="35">
        <v>15</v>
      </c>
      <c r="G8" s="35">
        <v>42.676767676767675</v>
      </c>
      <c r="H8" s="35">
        <v>2.8000000000000003E-4</v>
      </c>
      <c r="I8" s="35">
        <v>3.5000000000000005E-4</v>
      </c>
    </row>
    <row r="9" spans="1:9" x14ac:dyDescent="0.3">
      <c r="A9">
        <f>IFERROR(IF(DataDijkvakken[[#This Row],[Vaknaam '[-']]]="","",A8+1),1)</f>
        <v>8</v>
      </c>
      <c r="B9" s="35" t="s">
        <v>263</v>
      </c>
      <c r="C9" s="35">
        <v>2.7845462727272725</v>
      </c>
      <c r="D9" s="35">
        <v>18</v>
      </c>
      <c r="E9" s="35">
        <v>49.5</v>
      </c>
      <c r="F9" s="35">
        <v>15</v>
      </c>
      <c r="G9" s="35">
        <v>42.676767676767675</v>
      </c>
      <c r="H9" s="35">
        <v>2.8000000000000003E-4</v>
      </c>
      <c r="I9" s="35">
        <v>3.5000000000000005E-4</v>
      </c>
    </row>
    <row r="10" spans="1:9" x14ac:dyDescent="0.3">
      <c r="A10">
        <f>IFERROR(IF(DataDijkvakken[[#This Row],[Vaknaam '[-']]]="","",A9+1),1)</f>
        <v>9</v>
      </c>
      <c r="B10" s="35" t="s">
        <v>264</v>
      </c>
      <c r="C10" s="35">
        <v>3.5873949999999999</v>
      </c>
      <c r="D10" s="35">
        <v>18</v>
      </c>
      <c r="E10" s="35">
        <v>49.5</v>
      </c>
      <c r="F10" s="35">
        <v>15</v>
      </c>
      <c r="G10" s="35">
        <v>42.676767676767675</v>
      </c>
      <c r="H10" s="35">
        <v>2.8000000000000003E-4</v>
      </c>
      <c r="I10" s="35">
        <v>3.5000000000000005E-4</v>
      </c>
    </row>
    <row r="11" spans="1:9" x14ac:dyDescent="0.3">
      <c r="A11">
        <f>IFERROR(IF(DataDijkvakken[[#This Row],[Vaknaam '[-']]]="","",A10+1),1)</f>
        <v>10</v>
      </c>
      <c r="B11" s="35" t="s">
        <v>265</v>
      </c>
      <c r="C11" s="35">
        <v>5.3301840999999994</v>
      </c>
      <c r="D11" s="35">
        <v>18</v>
      </c>
      <c r="E11" s="35">
        <v>49.5</v>
      </c>
      <c r="F11" s="35">
        <v>15</v>
      </c>
      <c r="G11" s="35">
        <v>42.676767676767675</v>
      </c>
      <c r="H11" s="35">
        <v>2.8000000000000003E-4</v>
      </c>
      <c r="I11" s="35">
        <v>3.5000000000000005E-4</v>
      </c>
    </row>
    <row r="12" spans="1:9" x14ac:dyDescent="0.3">
      <c r="A12">
        <f>IFERROR(IF(DataDijkvakken[[#This Row],[Vaknaam '[-']]]="","",A11+1),1)</f>
        <v>11</v>
      </c>
      <c r="B12" s="35" t="s">
        <v>266</v>
      </c>
      <c r="C12" s="35">
        <v>3.2505452285714278</v>
      </c>
      <c r="D12" s="35">
        <v>18</v>
      </c>
      <c r="E12" s="35">
        <v>49.5</v>
      </c>
      <c r="F12" s="35">
        <v>15</v>
      </c>
      <c r="G12" s="35">
        <v>42.676767676767675</v>
      </c>
      <c r="H12" s="35">
        <v>2.8000000000000003E-4</v>
      </c>
      <c r="I12" s="35">
        <v>3.5000000000000005E-4</v>
      </c>
    </row>
    <row r="13" spans="1:9" x14ac:dyDescent="0.3">
      <c r="A13">
        <f>IFERROR(IF(DataDijkvakken[[#This Row],[Vaknaam '[-']]]="","",A12+1),1)</f>
        <v>12</v>
      </c>
      <c r="B13" s="35" t="s">
        <v>267</v>
      </c>
      <c r="C13" s="35">
        <v>2.2238142580645164</v>
      </c>
      <c r="D13" s="35">
        <v>18</v>
      </c>
      <c r="E13" s="35">
        <v>49.5</v>
      </c>
      <c r="F13" s="35">
        <v>15</v>
      </c>
      <c r="G13" s="35">
        <v>42.676767676767675</v>
      </c>
      <c r="H13" s="35">
        <v>2.8000000000000003E-4</v>
      </c>
      <c r="I13" s="35">
        <v>3.5000000000000005E-4</v>
      </c>
    </row>
    <row r="14" spans="1:9" x14ac:dyDescent="0.3">
      <c r="A14">
        <f>IFERROR(IF(DataDijkvakken[[#This Row],[Vaknaam '[-']]]="","",A13+1),1)</f>
        <v>13</v>
      </c>
      <c r="B14" s="35" t="s">
        <v>268</v>
      </c>
      <c r="C14" s="35">
        <v>2.0815784516129026</v>
      </c>
      <c r="D14" s="35">
        <v>18</v>
      </c>
      <c r="E14" s="35">
        <v>49.5</v>
      </c>
      <c r="F14" s="35">
        <v>15</v>
      </c>
      <c r="G14" s="35">
        <v>42.676767676767675</v>
      </c>
      <c r="H14" s="35">
        <v>2.8000000000000003E-4</v>
      </c>
      <c r="I14" s="35">
        <v>3.5000000000000005E-4</v>
      </c>
    </row>
    <row r="15" spans="1:9" x14ac:dyDescent="0.3">
      <c r="A15">
        <f>IFERROR(IF(DataDijkvakken[[#This Row],[Vaknaam '[-']]]="","",A14+1),1)</f>
        <v>14</v>
      </c>
      <c r="B15" s="35" t="s">
        <v>269</v>
      </c>
      <c r="C15" s="35">
        <v>1.7674078055555558</v>
      </c>
      <c r="D15" s="35">
        <v>18</v>
      </c>
      <c r="E15" s="35">
        <v>44</v>
      </c>
      <c r="F15" s="35">
        <v>15</v>
      </c>
      <c r="G15" s="35">
        <v>42.897727272727273</v>
      </c>
      <c r="H15" s="35">
        <v>2.8000000000000003E-4</v>
      </c>
      <c r="I15" s="35">
        <v>3.5000000000000005E-4</v>
      </c>
    </row>
    <row r="16" spans="1:9" x14ac:dyDescent="0.3">
      <c r="A16">
        <f>IFERROR(IF(DataDijkvakken[[#This Row],[Vaknaam '[-']]]="","",A15+1),1)</f>
        <v>15</v>
      </c>
      <c r="B16" s="35" t="s">
        <v>270</v>
      </c>
      <c r="C16" s="35">
        <v>2.0242183636363635</v>
      </c>
      <c r="D16" s="35">
        <v>18</v>
      </c>
      <c r="E16" s="35">
        <v>44</v>
      </c>
      <c r="F16" s="35">
        <v>15</v>
      </c>
      <c r="G16" s="35">
        <v>42.897727272727273</v>
      </c>
      <c r="H16" s="35">
        <v>2.8000000000000003E-4</v>
      </c>
      <c r="I16" s="35">
        <v>3.5000000000000005E-4</v>
      </c>
    </row>
    <row r="17" spans="1:9" x14ac:dyDescent="0.3">
      <c r="A17">
        <f>IFERROR(IF(DataDijkvakken[[#This Row],[Vaknaam '[-']]]="","",A16+1),1)</f>
        <v>16</v>
      </c>
      <c r="B17" s="35" t="s">
        <v>271</v>
      </c>
      <c r="C17" s="35">
        <v>1.7682442272727277</v>
      </c>
      <c r="D17" s="35">
        <v>18</v>
      </c>
      <c r="E17" s="35">
        <v>44</v>
      </c>
      <c r="F17" s="35">
        <v>15</v>
      </c>
      <c r="G17" s="35">
        <v>42.897727272727273</v>
      </c>
      <c r="H17" s="35">
        <v>2.8000000000000003E-4</v>
      </c>
      <c r="I17" s="35">
        <v>3.5000000000000005E-4</v>
      </c>
    </row>
    <row r="18" spans="1:9" x14ac:dyDescent="0.3">
      <c r="A18">
        <f>IFERROR(IF(DataDijkvakken[[#This Row],[Vaknaam '[-']]]="","",A17+1),1)</f>
        <v>17</v>
      </c>
      <c r="B18" s="35" t="s">
        <v>272</v>
      </c>
      <c r="C18" s="35">
        <v>1.6937005000000001</v>
      </c>
      <c r="D18" s="35">
        <v>18</v>
      </c>
      <c r="E18" s="35">
        <v>43.5</v>
      </c>
      <c r="F18" s="35">
        <v>15</v>
      </c>
      <c r="G18" s="35">
        <v>42.52873563218391</v>
      </c>
      <c r="H18" s="35">
        <v>2.8000000000000003E-4</v>
      </c>
      <c r="I18" s="35">
        <v>3.5000000000000005E-4</v>
      </c>
    </row>
    <row r="19" spans="1:9" x14ac:dyDescent="0.3">
      <c r="A19">
        <f>IFERROR(IF(DataDijkvakken[[#This Row],[Vaknaam '[-']]]="","",A18+1),1)</f>
        <v>18</v>
      </c>
      <c r="B19" s="35" t="s">
        <v>273</v>
      </c>
      <c r="C19" s="35">
        <v>1.5821438181818179</v>
      </c>
      <c r="D19" s="35">
        <v>18</v>
      </c>
      <c r="E19" s="35">
        <v>43.5</v>
      </c>
      <c r="F19" s="35">
        <v>15</v>
      </c>
      <c r="G19" s="35">
        <v>42.52873563218391</v>
      </c>
      <c r="H19" s="35">
        <v>2.8000000000000003E-4</v>
      </c>
      <c r="I19" s="35">
        <v>3.5000000000000005E-4</v>
      </c>
    </row>
    <row r="20" spans="1:9" x14ac:dyDescent="0.3">
      <c r="A20">
        <f>IFERROR(IF(DataDijkvakken[[#This Row],[Vaknaam '[-']]]="","",A19+1),1)</f>
        <v>19</v>
      </c>
      <c r="B20" s="35" t="s">
        <v>274</v>
      </c>
      <c r="C20" s="35">
        <v>1.5021889375000002</v>
      </c>
      <c r="D20" s="35">
        <v>18</v>
      </c>
      <c r="E20" s="35">
        <v>43.5</v>
      </c>
      <c r="F20" s="35">
        <v>15</v>
      </c>
      <c r="G20" s="35">
        <v>42.52873563218391</v>
      </c>
      <c r="H20" s="35">
        <v>2.8000000000000003E-4</v>
      </c>
      <c r="I20" s="35">
        <v>3.5000000000000005E-4</v>
      </c>
    </row>
    <row r="21" spans="1:9" x14ac:dyDescent="0.3">
      <c r="A21">
        <f>IFERROR(IF(DataDijkvakken[[#This Row],[Vaknaam '[-']]]="","",A20+1),1)</f>
        <v>20</v>
      </c>
      <c r="B21" s="35" t="s">
        <v>275</v>
      </c>
      <c r="C21" s="35">
        <v>1.95847375</v>
      </c>
      <c r="D21" s="35">
        <v>18</v>
      </c>
      <c r="E21" s="35">
        <v>43.5</v>
      </c>
      <c r="F21" s="35">
        <v>15</v>
      </c>
      <c r="G21" s="35">
        <v>42.52873563218391</v>
      </c>
      <c r="H21" s="35">
        <v>2.5999999999999998E-4</v>
      </c>
      <c r="I21" s="35">
        <v>3.5000000000000005E-4</v>
      </c>
    </row>
    <row r="22" spans="1:9" x14ac:dyDescent="0.3">
      <c r="A22">
        <f>IFERROR(IF(DataDijkvakken[[#This Row],[Vaknaam '[-']]]="","",A21+1),1)</f>
        <v>21</v>
      </c>
      <c r="B22" s="35" t="s">
        <v>276</v>
      </c>
      <c r="C22" s="35">
        <v>2.8820100000000002</v>
      </c>
      <c r="D22" s="35">
        <v>18</v>
      </c>
      <c r="E22" s="35">
        <v>43.5</v>
      </c>
      <c r="F22" s="35">
        <v>15</v>
      </c>
      <c r="G22" s="35">
        <v>42.52873563218391</v>
      </c>
      <c r="H22" s="35">
        <v>2.5999999999999998E-4</v>
      </c>
      <c r="I22" s="35">
        <v>3.5000000000000005E-4</v>
      </c>
    </row>
    <row r="23" spans="1:9" x14ac:dyDescent="0.3">
      <c r="A23">
        <f>IFERROR(IF(DataDijkvakken[[#This Row],[Vaknaam '[-']]]="","",A22+1),1)</f>
        <v>22</v>
      </c>
      <c r="B23" s="35" t="s">
        <v>277</v>
      </c>
      <c r="C23" s="35">
        <v>2.2418184999999999</v>
      </c>
      <c r="D23" s="35">
        <v>18</v>
      </c>
      <c r="E23" s="35">
        <v>43.5</v>
      </c>
      <c r="F23" s="35">
        <v>15</v>
      </c>
      <c r="G23" s="35">
        <v>42.52873563218391</v>
      </c>
      <c r="H23" s="35">
        <v>2.5999999999999998E-4</v>
      </c>
      <c r="I23" s="35">
        <v>3.5000000000000005E-4</v>
      </c>
    </row>
    <row r="24" spans="1:9" x14ac:dyDescent="0.3">
      <c r="A24">
        <f>IFERROR(IF(DataDijkvakken[[#This Row],[Vaknaam '[-']]]="","",A23+1),1)</f>
        <v>23</v>
      </c>
      <c r="B24" s="35" t="s">
        <v>278</v>
      </c>
      <c r="C24" s="35">
        <v>1.7012527500000001</v>
      </c>
      <c r="D24" s="35">
        <v>18</v>
      </c>
      <c r="E24" s="35">
        <v>43.5</v>
      </c>
      <c r="F24" s="35">
        <v>15</v>
      </c>
      <c r="G24" s="35">
        <v>42.52873563218391</v>
      </c>
      <c r="H24" s="35">
        <v>2.5999999999999998E-4</v>
      </c>
      <c r="I24" s="35">
        <v>3.5000000000000005E-4</v>
      </c>
    </row>
    <row r="25" spans="1:9" x14ac:dyDescent="0.3">
      <c r="A25">
        <f>IFERROR(IF(DataDijkvakken[[#This Row],[Vaknaam '[-']]]="","",A24+1),1)</f>
        <v>24</v>
      </c>
      <c r="B25" s="35" t="s">
        <v>279</v>
      </c>
      <c r="C25" s="35">
        <v>2.5414865</v>
      </c>
      <c r="D25" s="35">
        <v>18</v>
      </c>
      <c r="E25" s="35">
        <v>43.5</v>
      </c>
      <c r="F25" s="35">
        <v>15</v>
      </c>
      <c r="G25" s="35">
        <v>42.52873563218391</v>
      </c>
      <c r="H25" s="35">
        <v>2.5999999999999998E-4</v>
      </c>
      <c r="I25" s="35">
        <v>3.5000000000000005E-4</v>
      </c>
    </row>
    <row r="26" spans="1:9" x14ac:dyDescent="0.3">
      <c r="A26">
        <f>IFERROR(IF(DataDijkvakken[[#This Row],[Vaknaam '[-']]]="","",A25+1),1)</f>
        <v>25</v>
      </c>
      <c r="B26" s="35" t="s">
        <v>280</v>
      </c>
      <c r="C26" s="35">
        <v>1.3009032857142857</v>
      </c>
      <c r="D26" s="35">
        <v>18</v>
      </c>
      <c r="E26" s="35">
        <v>43</v>
      </c>
      <c r="F26" s="35">
        <v>15</v>
      </c>
      <c r="G26" s="35">
        <v>35.174418604651166</v>
      </c>
      <c r="H26" s="35">
        <v>2.5999999999999998E-4</v>
      </c>
      <c r="I26" s="35">
        <v>3.5000000000000005E-4</v>
      </c>
    </row>
    <row r="27" spans="1:9" x14ac:dyDescent="0.3">
      <c r="A27">
        <f>IFERROR(IF(DataDijkvakken[[#This Row],[Vaknaam '[-']]]="","",A26+1),1)</f>
        <v>26</v>
      </c>
      <c r="B27" s="35" t="s">
        <v>281</v>
      </c>
      <c r="C27" s="35">
        <v>1.9148900000000002</v>
      </c>
      <c r="D27" s="35">
        <v>18</v>
      </c>
      <c r="E27" s="35">
        <v>43</v>
      </c>
      <c r="F27" s="35">
        <v>15</v>
      </c>
      <c r="G27" s="35">
        <v>35.174418604651166</v>
      </c>
      <c r="H27" s="35">
        <v>2.5999999999999998E-4</v>
      </c>
      <c r="I27" s="35">
        <v>3.5000000000000005E-4</v>
      </c>
    </row>
    <row r="28" spans="1:9" x14ac:dyDescent="0.3">
      <c r="A28">
        <f>IFERROR(IF(DataDijkvakken[[#This Row],[Vaknaam '[-']]]="","",A27+1),1)</f>
        <v>27</v>
      </c>
      <c r="B28" s="35" t="s">
        <v>282</v>
      </c>
      <c r="C28" s="35">
        <v>2.3195156666666668</v>
      </c>
      <c r="D28" s="35">
        <v>18</v>
      </c>
      <c r="E28" s="35">
        <v>43</v>
      </c>
      <c r="F28" s="35">
        <v>15</v>
      </c>
      <c r="G28" s="35">
        <v>35.174418604651166</v>
      </c>
      <c r="H28" s="35">
        <v>2.5999999999999998E-4</v>
      </c>
      <c r="I28" s="35">
        <v>3.5000000000000005E-4</v>
      </c>
    </row>
    <row r="29" spans="1:9" x14ac:dyDescent="0.3">
      <c r="A29">
        <f>IFERROR(IF(DataDijkvakken[[#This Row],[Vaknaam '[-']]]="","",A28+1),1)</f>
        <v>28</v>
      </c>
      <c r="B29" s="35" t="s">
        <v>283</v>
      </c>
      <c r="C29" s="35">
        <v>2.5046870000000001</v>
      </c>
      <c r="D29" s="35">
        <v>18</v>
      </c>
      <c r="E29" s="35">
        <v>43</v>
      </c>
      <c r="F29" s="35">
        <v>15</v>
      </c>
      <c r="G29" s="35">
        <v>35.174418604651166</v>
      </c>
      <c r="H29" s="35">
        <v>2.5999999999999998E-4</v>
      </c>
      <c r="I29" s="35">
        <v>3.5000000000000005E-4</v>
      </c>
    </row>
    <row r="30" spans="1:9" x14ac:dyDescent="0.3">
      <c r="A30">
        <f>IFERROR(IF(DataDijkvakken[[#This Row],[Vaknaam '[-']]]="","",A29+1),1)</f>
        <v>29</v>
      </c>
      <c r="B30" s="35" t="s">
        <v>284</v>
      </c>
      <c r="C30" s="35">
        <v>2.22273875</v>
      </c>
      <c r="D30" s="35">
        <v>18</v>
      </c>
      <c r="E30" s="35">
        <v>43</v>
      </c>
      <c r="F30" s="35">
        <v>15</v>
      </c>
      <c r="G30" s="35">
        <v>35.174418604651166</v>
      </c>
      <c r="H30" s="35">
        <v>2.5999999999999998E-4</v>
      </c>
      <c r="I30" s="35">
        <v>3.5000000000000005E-4</v>
      </c>
    </row>
    <row r="31" spans="1:9" x14ac:dyDescent="0.3">
      <c r="A31">
        <f>IFERROR(IF(DataDijkvakken[[#This Row],[Vaknaam '[-']]]="","",A30+1),1)</f>
        <v>30</v>
      </c>
      <c r="B31" s="35" t="s">
        <v>285</v>
      </c>
      <c r="C31" s="35">
        <v>1.3634105333333331</v>
      </c>
      <c r="D31" s="35">
        <v>18</v>
      </c>
      <c r="E31" s="35">
        <v>43</v>
      </c>
      <c r="F31" s="35">
        <v>15</v>
      </c>
      <c r="G31" s="35">
        <v>35.174418604651166</v>
      </c>
      <c r="H31" s="35">
        <v>2.5999999999999998E-4</v>
      </c>
      <c r="I31" s="35">
        <v>3.5000000000000005E-4</v>
      </c>
    </row>
    <row r="32" spans="1:9" x14ac:dyDescent="0.3">
      <c r="A32">
        <f>IFERROR(IF(DataDijkvakken[[#This Row],[Vaknaam '[-']]]="","",A31+1),1)</f>
        <v>31</v>
      </c>
      <c r="B32" s="35" t="s">
        <v>286</v>
      </c>
      <c r="C32" s="35">
        <v>1.1546215952380956</v>
      </c>
      <c r="D32" s="35">
        <v>18</v>
      </c>
      <c r="E32" s="35">
        <v>37.5</v>
      </c>
      <c r="F32" s="35">
        <v>15</v>
      </c>
      <c r="G32" s="35">
        <v>37.5</v>
      </c>
      <c r="H32" s="35">
        <v>2.5999999999999998E-4</v>
      </c>
      <c r="I32" s="35">
        <v>3.5000000000000005E-4</v>
      </c>
    </row>
    <row r="33" spans="1:9" x14ac:dyDescent="0.3">
      <c r="A33">
        <f>IFERROR(IF(DataDijkvakken[[#This Row],[Vaknaam '[-']]]="","",A32+1),1)</f>
        <v>32</v>
      </c>
      <c r="B33" s="35" t="s">
        <v>287</v>
      </c>
      <c r="C33" s="35">
        <v>1.1378964333333335</v>
      </c>
      <c r="D33" s="35">
        <v>18</v>
      </c>
      <c r="E33" s="35">
        <v>37.5</v>
      </c>
      <c r="F33" s="35">
        <v>15</v>
      </c>
      <c r="G33" s="35">
        <v>37.5</v>
      </c>
      <c r="H33" s="35">
        <v>2.5999999999999998E-4</v>
      </c>
      <c r="I33" s="35">
        <v>3.5000000000000005E-4</v>
      </c>
    </row>
    <row r="34" spans="1:9" x14ac:dyDescent="0.3">
      <c r="A34">
        <f>IFERROR(IF(DataDijkvakken[[#This Row],[Vaknaam '[-']]]="","",A33+1),1)</f>
        <v>33</v>
      </c>
      <c r="B34" s="35" t="s">
        <v>288</v>
      </c>
      <c r="C34" s="35">
        <v>1.3557444074074072</v>
      </c>
      <c r="D34" s="35">
        <v>18</v>
      </c>
      <c r="E34" s="35">
        <v>37.5</v>
      </c>
      <c r="F34" s="35">
        <v>15</v>
      </c>
      <c r="G34" s="35">
        <v>37.5</v>
      </c>
      <c r="H34" s="35">
        <v>2.5999999999999998E-4</v>
      </c>
      <c r="I34" s="35">
        <v>3.5000000000000005E-4</v>
      </c>
    </row>
    <row r="35" spans="1:9" x14ac:dyDescent="0.3">
      <c r="A35">
        <f>IFERROR(IF(DataDijkvakken[[#This Row],[Vaknaam '[-']]]="","",A34+1),1)</f>
        <v>34</v>
      </c>
      <c r="B35" s="35" t="s">
        <v>289</v>
      </c>
      <c r="C35" s="35">
        <v>1.0465527027027026</v>
      </c>
      <c r="D35" s="35">
        <v>18</v>
      </c>
      <c r="E35" s="35">
        <v>37.5</v>
      </c>
      <c r="F35" s="35">
        <v>15</v>
      </c>
      <c r="G35" s="35">
        <v>37.5</v>
      </c>
      <c r="H35" s="35">
        <v>2.5999999999999998E-4</v>
      </c>
      <c r="I35" s="35">
        <v>3.5000000000000005E-4</v>
      </c>
    </row>
    <row r="36" spans="1:9" x14ac:dyDescent="0.3">
      <c r="A36">
        <f>IFERROR(IF(DataDijkvakken[[#This Row],[Vaknaam '[-']]]="","",A35+1),1)</f>
        <v>35</v>
      </c>
      <c r="B36" s="35" t="s">
        <v>290</v>
      </c>
      <c r="C36" s="35">
        <v>1.4765097142857144</v>
      </c>
      <c r="D36" s="35">
        <v>18</v>
      </c>
      <c r="E36" s="35">
        <v>37.5</v>
      </c>
      <c r="F36" s="35">
        <v>15</v>
      </c>
      <c r="G36" s="35">
        <v>37.5</v>
      </c>
      <c r="H36" s="35">
        <v>2.5999999999999998E-4</v>
      </c>
      <c r="I36" s="35">
        <v>3.5000000000000005E-4</v>
      </c>
    </row>
    <row r="37" spans="1:9" x14ac:dyDescent="0.3">
      <c r="A37">
        <f>IFERROR(IF(DataDijkvakken[[#This Row],[Vaknaam '[-']]]="","",A36+1),1)</f>
        <v>36</v>
      </c>
      <c r="B37" s="35" t="s">
        <v>291</v>
      </c>
      <c r="C37" s="35">
        <v>1.5432998421052633</v>
      </c>
      <c r="D37" s="35">
        <v>18</v>
      </c>
      <c r="E37" s="35">
        <v>37.5</v>
      </c>
      <c r="F37" s="35">
        <v>15</v>
      </c>
      <c r="G37" s="35">
        <v>37.5</v>
      </c>
      <c r="H37" s="35">
        <v>2.5999999999999998E-4</v>
      </c>
      <c r="I37" s="35">
        <v>3.5000000000000005E-4</v>
      </c>
    </row>
    <row r="38" spans="1:9" x14ac:dyDescent="0.3">
      <c r="A38">
        <f>IFERROR(IF(DataDijkvakken[[#This Row],[Vaknaam '[-']]]="","",A37+1),1)</f>
        <v>37</v>
      </c>
      <c r="B38" s="35" t="s">
        <v>292</v>
      </c>
      <c r="C38" s="35">
        <v>0.85748321428571417</v>
      </c>
      <c r="D38" s="35">
        <v>18</v>
      </c>
      <c r="E38" s="35">
        <v>37.5</v>
      </c>
      <c r="F38" s="35">
        <v>15</v>
      </c>
      <c r="G38" s="35">
        <v>37.5</v>
      </c>
      <c r="H38" s="35">
        <v>2.5999999999999998E-4</v>
      </c>
      <c r="I38" s="35">
        <v>3.5000000000000005E-4</v>
      </c>
    </row>
    <row r="39" spans="1:9" x14ac:dyDescent="0.3">
      <c r="A39">
        <f>IFERROR(IF(DataDijkvakken[[#This Row],[Vaknaam '[-']]]="","",A38+1),1)</f>
        <v>38</v>
      </c>
      <c r="B39" s="35" t="s">
        <v>293</v>
      </c>
      <c r="C39" s="35">
        <v>0.75514916666666665</v>
      </c>
      <c r="D39" s="35">
        <v>16</v>
      </c>
      <c r="E39" s="35">
        <v>37.5</v>
      </c>
      <c r="F39" s="35">
        <v>15</v>
      </c>
      <c r="G39" s="35">
        <v>37.5</v>
      </c>
      <c r="H39" s="35">
        <v>2.5999999999999998E-4</v>
      </c>
      <c r="I39" s="35">
        <v>3.5000000000000005E-4</v>
      </c>
    </row>
    <row r="40" spans="1:9" x14ac:dyDescent="0.3">
      <c r="A40">
        <f>IFERROR(IF(DataDijkvakken[[#This Row],[Vaknaam '[-']]]="","",A39+1),1)</f>
        <v>39</v>
      </c>
      <c r="B40" s="35" t="s">
        <v>294</v>
      </c>
      <c r="C40" s="35">
        <v>0.79371423809523822</v>
      </c>
      <c r="D40" s="35">
        <v>16</v>
      </c>
      <c r="E40" s="35">
        <v>37.5</v>
      </c>
      <c r="F40" s="35">
        <v>15</v>
      </c>
      <c r="G40" s="35">
        <v>37.5</v>
      </c>
      <c r="H40" s="35">
        <v>2.5999999999999998E-4</v>
      </c>
      <c r="I40" s="35">
        <v>3.5000000000000005E-4</v>
      </c>
    </row>
    <row r="41" spans="1:9" x14ac:dyDescent="0.3">
      <c r="A41">
        <f>IFERROR(IF(DataDijkvakken[[#This Row],[Vaknaam '[-']]]="","",A40+1),1)</f>
        <v>40</v>
      </c>
      <c r="B41" s="35" t="s">
        <v>295</v>
      </c>
      <c r="C41" s="35">
        <v>-2.2180384615384605E-2</v>
      </c>
      <c r="D41" s="35">
        <v>16</v>
      </c>
      <c r="E41" s="35">
        <v>37.5</v>
      </c>
      <c r="F41" s="35">
        <v>15</v>
      </c>
      <c r="G41" s="35">
        <v>37.5</v>
      </c>
      <c r="H41" s="35">
        <v>2.5999999999999998E-4</v>
      </c>
      <c r="I41" s="35">
        <v>3.5000000000000005E-4</v>
      </c>
    </row>
    <row r="42" spans="1:9" x14ac:dyDescent="0.3">
      <c r="A42">
        <f>IFERROR(IF(DataDijkvakken[[#This Row],[Vaknaam '[-']]]="","",A41+1),1)</f>
        <v>41</v>
      </c>
      <c r="B42" s="35" t="s">
        <v>296</v>
      </c>
      <c r="C42" s="35">
        <v>0.59316899999999995</v>
      </c>
      <c r="D42" s="35">
        <v>16</v>
      </c>
      <c r="E42" s="35">
        <v>37.5</v>
      </c>
      <c r="F42" s="35">
        <v>15</v>
      </c>
      <c r="G42" s="35">
        <v>37.5</v>
      </c>
      <c r="H42" s="35">
        <v>2.5999999999999998E-4</v>
      </c>
      <c r="I42" s="35">
        <v>3.5000000000000005E-4</v>
      </c>
    </row>
    <row r="43" spans="1:9" x14ac:dyDescent="0.3">
      <c r="A43">
        <f>IFERROR(IF(DataDijkvakken[[#This Row],[Vaknaam '[-']]]="","",A42+1),1)</f>
        <v>42</v>
      </c>
      <c r="B43" s="35" t="s">
        <v>297</v>
      </c>
      <c r="C43" s="35">
        <v>8.6832687500000019E-2</v>
      </c>
      <c r="D43" s="35">
        <v>16</v>
      </c>
      <c r="E43" s="35">
        <v>37.5</v>
      </c>
      <c r="F43" s="35">
        <v>15</v>
      </c>
      <c r="G43" s="35">
        <v>37.5</v>
      </c>
      <c r="H43" s="35">
        <v>2.5999999999999998E-4</v>
      </c>
      <c r="I43" s="35">
        <v>3.5000000000000005E-4</v>
      </c>
    </row>
    <row r="44" spans="1:9" x14ac:dyDescent="0.3">
      <c r="A44">
        <f>IFERROR(IF(DataDijkvakken[[#This Row],[Vaknaam '[-']]]="","",A43+1),1)</f>
        <v>43</v>
      </c>
      <c r="B44" s="35" t="s">
        <v>298</v>
      </c>
      <c r="C44" s="35">
        <v>0.99680750000000007</v>
      </c>
      <c r="D44" s="35">
        <v>16</v>
      </c>
      <c r="E44" s="35">
        <v>37.5</v>
      </c>
      <c r="F44" s="35">
        <v>15</v>
      </c>
      <c r="G44" s="35">
        <v>37.5</v>
      </c>
      <c r="H44" s="35">
        <v>2.5999999999999998E-4</v>
      </c>
      <c r="I44" s="35">
        <v>3.5000000000000005E-4</v>
      </c>
    </row>
    <row r="45" spans="1:9" x14ac:dyDescent="0.3">
      <c r="A45">
        <f>IFERROR(IF(DataDijkvakken[[#This Row],[Vaknaam '[-']]]="","",A44+1),1)</f>
        <v>44</v>
      </c>
      <c r="B45" s="35" t="s">
        <v>299</v>
      </c>
      <c r="C45" s="35">
        <v>0.21849009090909091</v>
      </c>
      <c r="D45" s="35">
        <v>16</v>
      </c>
      <c r="E45" s="35">
        <v>34.5</v>
      </c>
      <c r="F45" s="35">
        <v>15</v>
      </c>
      <c r="G45" s="35">
        <v>37.5</v>
      </c>
      <c r="H45" s="35">
        <v>2.5999999999999998E-4</v>
      </c>
      <c r="I45" s="35">
        <v>3.5000000000000005E-4</v>
      </c>
    </row>
    <row r="46" spans="1:9" x14ac:dyDescent="0.3">
      <c r="A46">
        <f>IFERROR(IF(DataDijkvakken[[#This Row],[Vaknaam '[-']]]="","",A45+1),1)</f>
        <v>45</v>
      </c>
      <c r="B46" s="35" t="s">
        <v>300</v>
      </c>
      <c r="C46" s="35">
        <v>-0.19965133333333332</v>
      </c>
      <c r="D46" s="35">
        <v>16</v>
      </c>
      <c r="E46" s="35">
        <v>34.5</v>
      </c>
      <c r="F46" s="35">
        <v>15</v>
      </c>
      <c r="G46" s="35">
        <v>37.5</v>
      </c>
      <c r="H46" s="35">
        <v>2.5999999999999998E-4</v>
      </c>
      <c r="I46" s="35">
        <v>3.5000000000000005E-4</v>
      </c>
    </row>
    <row r="47" spans="1:9" x14ac:dyDescent="0.3">
      <c r="A47">
        <f>IFERROR(IF(DataDijkvakken[[#This Row],[Vaknaam '[-']]]="","",A46+1),1)</f>
        <v>46</v>
      </c>
      <c r="B47" s="35" t="s">
        <v>301</v>
      </c>
      <c r="C47" s="35">
        <v>-0.50699585714285722</v>
      </c>
      <c r="D47" s="35">
        <v>16</v>
      </c>
      <c r="E47" s="35">
        <v>34.5</v>
      </c>
      <c r="F47" s="35">
        <v>15</v>
      </c>
      <c r="G47" s="35">
        <v>37.5</v>
      </c>
      <c r="H47" s="35">
        <v>2.5999999999999998E-4</v>
      </c>
      <c r="I47" s="35">
        <v>3.5000000000000005E-4</v>
      </c>
    </row>
    <row r="48" spans="1:9" x14ac:dyDescent="0.3">
      <c r="A48">
        <f>IFERROR(IF(DataDijkvakken[[#This Row],[Vaknaam '[-']]]="","",A47+1),1)</f>
        <v>47</v>
      </c>
      <c r="B48" s="35" t="s">
        <v>302</v>
      </c>
      <c r="C48" s="35">
        <v>-0.25145829411764703</v>
      </c>
      <c r="D48" s="35">
        <v>16</v>
      </c>
      <c r="E48" s="35">
        <v>34.5</v>
      </c>
      <c r="F48" s="35">
        <v>15</v>
      </c>
      <c r="G48" s="35">
        <v>37.5</v>
      </c>
      <c r="H48" s="35">
        <v>2.5999999999999998E-4</v>
      </c>
      <c r="I48" s="35">
        <v>3.5000000000000005E-4</v>
      </c>
    </row>
    <row r="49" spans="1:9" x14ac:dyDescent="0.3">
      <c r="A49">
        <f>IFERROR(IF(DataDijkvakken[[#This Row],[Vaknaam '[-']]]="","",A48+1),1)</f>
        <v>48</v>
      </c>
      <c r="B49" s="35" t="s">
        <v>303</v>
      </c>
      <c r="C49" s="35">
        <v>-0.31077850000000001</v>
      </c>
      <c r="D49" s="35">
        <v>16</v>
      </c>
      <c r="E49" s="35">
        <v>34.5</v>
      </c>
      <c r="F49" s="35">
        <v>15</v>
      </c>
      <c r="G49" s="35">
        <v>37.5</v>
      </c>
      <c r="H49" s="35">
        <v>2.5999999999999998E-4</v>
      </c>
      <c r="I49" s="35">
        <v>3.5000000000000005E-4</v>
      </c>
    </row>
    <row r="50" spans="1:9" x14ac:dyDescent="0.3">
      <c r="A50">
        <f>IFERROR(IF(DataDijkvakken[[#This Row],[Vaknaam '[-']]]="","",A49+1),1)</f>
        <v>49</v>
      </c>
      <c r="B50" s="35" t="s">
        <v>304</v>
      </c>
      <c r="C50" s="35">
        <v>1.385989125</v>
      </c>
      <c r="D50" s="35">
        <v>16</v>
      </c>
      <c r="E50" s="35">
        <v>34.5</v>
      </c>
      <c r="F50" s="35">
        <v>15</v>
      </c>
      <c r="G50" s="35">
        <v>37.5</v>
      </c>
      <c r="H50" s="35">
        <v>2.5999999999999998E-4</v>
      </c>
      <c r="I50" s="35">
        <v>3.5000000000000005E-4</v>
      </c>
    </row>
    <row r="51" spans="1:9" x14ac:dyDescent="0.3">
      <c r="A51">
        <f>IFERROR(IF(DataDijkvakken[[#This Row],[Vaknaam '[-']]]="","",A50+1),1)</f>
        <v>50</v>
      </c>
      <c r="B51" s="35" t="s">
        <v>305</v>
      </c>
      <c r="C51" s="35">
        <v>0.95884066666666667</v>
      </c>
      <c r="D51" s="35">
        <v>16</v>
      </c>
      <c r="E51" s="35">
        <v>34.5</v>
      </c>
      <c r="F51" s="35">
        <v>15</v>
      </c>
      <c r="G51" s="35">
        <v>37.5</v>
      </c>
      <c r="H51" s="35">
        <v>2.5999999999999998E-4</v>
      </c>
      <c r="I51" s="35">
        <v>3.5000000000000005E-4</v>
      </c>
    </row>
    <row r="52" spans="1:9" x14ac:dyDescent="0.3">
      <c r="A52">
        <f>IFERROR(IF(DataDijkvakken[[#This Row],[Vaknaam '[-']]]="","",A51+1),1)</f>
        <v>51</v>
      </c>
      <c r="B52" s="35" t="s">
        <v>306</v>
      </c>
      <c r="C52" s="35">
        <v>1.5227464285714285</v>
      </c>
      <c r="D52" s="35">
        <v>14</v>
      </c>
      <c r="E52" s="35">
        <v>34.5</v>
      </c>
      <c r="F52" s="35">
        <v>15</v>
      </c>
      <c r="G52" s="35">
        <v>37.5</v>
      </c>
      <c r="H52" s="35">
        <v>2.5999999999999998E-4</v>
      </c>
      <c r="I52" s="35">
        <v>3.5000000000000005E-4</v>
      </c>
    </row>
    <row r="53" spans="1:9" x14ac:dyDescent="0.3">
      <c r="A53" t="str">
        <f>IFERROR(IF(DataDijkvakken[[#This Row],[Vaknaam '[-']]]="","",A52+1),1)</f>
        <v/>
      </c>
      <c r="B53" s="35"/>
      <c r="C53" s="35"/>
      <c r="D53" s="35"/>
      <c r="E53" s="35"/>
      <c r="F53" s="35"/>
      <c r="G53" s="35"/>
      <c r="H53" s="35"/>
      <c r="I53" s="35"/>
    </row>
    <row r="54" spans="1:9" x14ac:dyDescent="0.3">
      <c r="A54" t="str">
        <f>IFERROR(IF(DataDijkvakken[[#This Row],[Vaknaam '[-']]]="","",A53+1),1)</f>
        <v/>
      </c>
      <c r="B54" s="35"/>
      <c r="C54" s="35"/>
      <c r="D54" s="35"/>
      <c r="E54" s="35"/>
      <c r="F54" s="35"/>
      <c r="G54" s="35"/>
      <c r="H54" s="35"/>
      <c r="I54" s="35"/>
    </row>
    <row r="55" spans="1:9" x14ac:dyDescent="0.3">
      <c r="A55" t="str">
        <f>IFERROR(IF(DataDijkvakken[[#This Row],[Vaknaam '[-']]]="","",A54+1),1)</f>
        <v/>
      </c>
      <c r="B55" s="35"/>
      <c r="C55" s="35"/>
      <c r="D55" s="35"/>
      <c r="E55" s="35"/>
      <c r="F55" s="35"/>
      <c r="G55" s="35"/>
      <c r="H55" s="35"/>
      <c r="I55" s="35"/>
    </row>
    <row r="56" spans="1:9" x14ac:dyDescent="0.3">
      <c r="A56" t="str">
        <f>IFERROR(IF(DataDijkvakken[[#This Row],[Vaknaam '[-']]]="","",A55+1),1)</f>
        <v/>
      </c>
      <c r="B56" s="35"/>
      <c r="C56" s="35"/>
      <c r="D56" s="35"/>
      <c r="E56" s="35"/>
      <c r="F56" s="35"/>
      <c r="G56" s="35"/>
      <c r="H56" s="35"/>
      <c r="I56" s="35"/>
    </row>
    <row r="57" spans="1:9" x14ac:dyDescent="0.3">
      <c r="A57" t="str">
        <f>IFERROR(IF(DataDijkvakken[[#This Row],[Vaknaam '[-']]]="","",A56+1),1)</f>
        <v/>
      </c>
      <c r="B57" s="35"/>
      <c r="C57" s="35"/>
      <c r="D57" s="35"/>
      <c r="E57" s="35"/>
      <c r="F57" s="35"/>
      <c r="G57" s="35"/>
      <c r="H57" s="35"/>
      <c r="I57" s="35"/>
    </row>
    <row r="58" spans="1:9" x14ac:dyDescent="0.3">
      <c r="A58" t="str">
        <f>IFERROR(IF(DataDijkvakken[[#This Row],[Vaknaam '[-']]]="","",A57+1),1)</f>
        <v/>
      </c>
      <c r="B58" s="35"/>
      <c r="C58" s="35"/>
      <c r="D58" s="35"/>
      <c r="E58" s="35"/>
      <c r="F58" s="35"/>
      <c r="G58" s="35"/>
      <c r="H58" s="35"/>
      <c r="I58" s="35"/>
    </row>
    <row r="59" spans="1:9" x14ac:dyDescent="0.3">
      <c r="A59" t="str">
        <f>IFERROR(IF(DataDijkvakken[[#This Row],[Vaknaam '[-']]]="","",A58+1),1)</f>
        <v/>
      </c>
      <c r="B59" s="35"/>
      <c r="C59" s="35"/>
      <c r="D59" s="35"/>
      <c r="E59" s="35"/>
      <c r="F59" s="35"/>
      <c r="G59" s="35"/>
      <c r="H59" s="35"/>
      <c r="I59" s="35"/>
    </row>
    <row r="60" spans="1:9" x14ac:dyDescent="0.3">
      <c r="A60" t="str">
        <f>IFERROR(IF(DataDijkvakken[[#This Row],[Vaknaam '[-']]]="","",A59+1),1)</f>
        <v/>
      </c>
      <c r="B60" s="35"/>
      <c r="C60" s="35"/>
      <c r="D60" s="35"/>
      <c r="E60" s="35"/>
      <c r="F60" s="35"/>
      <c r="G60" s="35"/>
      <c r="H60" s="35"/>
      <c r="I60" s="35"/>
    </row>
    <row r="61" spans="1:9" x14ac:dyDescent="0.3">
      <c r="A61" t="str">
        <f>IFERROR(IF(DataDijkvakken[[#This Row],[Vaknaam '[-']]]="","",A60+1),1)</f>
        <v/>
      </c>
      <c r="B61" s="35"/>
      <c r="C61" s="35"/>
      <c r="D61" s="35"/>
      <c r="E61" s="35"/>
      <c r="F61" s="35"/>
      <c r="G61" s="35"/>
      <c r="H61" s="35"/>
      <c r="I61" s="35"/>
    </row>
    <row r="62" spans="1:9" x14ac:dyDescent="0.3">
      <c r="A62" t="str">
        <f>IFERROR(IF(DataDijkvakken[[#This Row],[Vaknaam '[-']]]="","",A61+1),1)</f>
        <v/>
      </c>
      <c r="B62" s="35"/>
      <c r="C62" s="35"/>
      <c r="D62" s="35"/>
      <c r="E62" s="35"/>
      <c r="F62" s="35"/>
      <c r="G62" s="35"/>
      <c r="H62" s="35"/>
      <c r="I62" s="35"/>
    </row>
    <row r="63" spans="1:9" x14ac:dyDescent="0.3">
      <c r="A63" t="str">
        <f>IFERROR(IF(DataDijkvakken[[#This Row],[Vaknaam '[-']]]="","",A62+1),1)</f>
        <v/>
      </c>
      <c r="B63" s="35"/>
      <c r="C63" s="35"/>
      <c r="D63" s="35"/>
      <c r="E63" s="35"/>
      <c r="F63" s="35"/>
      <c r="G63" s="35"/>
      <c r="H63" s="35"/>
      <c r="I63" s="35"/>
    </row>
    <row r="64" spans="1:9" x14ac:dyDescent="0.3">
      <c r="A64" t="str">
        <f>IFERROR(IF(DataDijkvakken[[#This Row],[Vaknaam '[-']]]="","",A63+1),1)</f>
        <v/>
      </c>
      <c r="B64" s="35"/>
      <c r="C64" s="35"/>
      <c r="D64" s="35"/>
      <c r="E64" s="35"/>
      <c r="F64" s="35"/>
      <c r="G64" s="35"/>
      <c r="H64" s="35"/>
      <c r="I64" s="35"/>
    </row>
    <row r="65" spans="1:9" x14ac:dyDescent="0.3">
      <c r="A65" t="str">
        <f>IFERROR(IF(DataDijkvakken[[#This Row],[Vaknaam '[-']]]="","",A64+1),1)</f>
        <v/>
      </c>
      <c r="B65" s="35"/>
      <c r="C65" s="35"/>
      <c r="D65" s="35"/>
      <c r="E65" s="35"/>
      <c r="F65" s="35"/>
      <c r="G65" s="35"/>
      <c r="H65" s="35"/>
      <c r="I65" s="35"/>
    </row>
    <row r="66" spans="1:9" x14ac:dyDescent="0.3">
      <c r="A66" t="str">
        <f>IFERROR(IF(DataDijkvakken[[#This Row],[Vaknaam '[-']]]="","",A65+1),1)</f>
        <v/>
      </c>
      <c r="B66" s="35"/>
      <c r="C66" s="35"/>
      <c r="D66" s="35"/>
      <c r="E66" s="35"/>
      <c r="F66" s="35"/>
      <c r="G66" s="35"/>
      <c r="H66" s="35"/>
      <c r="I66" s="35"/>
    </row>
    <row r="67" spans="1:9" x14ac:dyDescent="0.3">
      <c r="A67" t="str">
        <f>IFERROR(IF(DataDijkvakken[[#This Row],[Vaknaam '[-']]]="","",A66+1),1)</f>
        <v/>
      </c>
      <c r="B67" s="35"/>
      <c r="C67" s="35"/>
      <c r="D67" s="35"/>
      <c r="E67" s="35"/>
      <c r="F67" s="35"/>
      <c r="G67" s="35"/>
      <c r="H67" s="35"/>
      <c r="I67" s="35"/>
    </row>
    <row r="68" spans="1:9" x14ac:dyDescent="0.3">
      <c r="A68" t="str">
        <f>IFERROR(IF(DataDijkvakken[[#This Row],[Vaknaam '[-']]]="","",A67+1),1)</f>
        <v/>
      </c>
      <c r="B68" s="35"/>
      <c r="C68" s="35"/>
      <c r="D68" s="35"/>
      <c r="E68" s="35"/>
      <c r="F68" s="35"/>
      <c r="G68" s="35"/>
      <c r="H68" s="35"/>
      <c r="I68" s="35"/>
    </row>
    <row r="69" spans="1:9" x14ac:dyDescent="0.3">
      <c r="A69" t="str">
        <f>IFERROR(IF(DataDijkvakken[[#This Row],[Vaknaam '[-']]]="","",A68+1),1)</f>
        <v/>
      </c>
      <c r="B69" s="35"/>
      <c r="C69" s="35"/>
      <c r="D69" s="35"/>
      <c r="E69" s="35"/>
      <c r="F69" s="35"/>
      <c r="G69" s="35"/>
      <c r="H69" s="35"/>
      <c r="I69" s="35"/>
    </row>
    <row r="70" spans="1:9" x14ac:dyDescent="0.3">
      <c r="A70" t="str">
        <f>IFERROR(IF(DataDijkvakken[[#This Row],[Vaknaam '[-']]]="","",A69+1),1)</f>
        <v/>
      </c>
      <c r="B70" s="35"/>
      <c r="C70" s="35"/>
      <c r="D70" s="35"/>
      <c r="E70" s="35"/>
      <c r="F70" s="35"/>
      <c r="G70" s="35"/>
      <c r="H70" s="35"/>
      <c r="I70" s="35"/>
    </row>
    <row r="71" spans="1:9" x14ac:dyDescent="0.3">
      <c r="A71" t="str">
        <f>IFERROR(IF(DataDijkvakken[[#This Row],[Vaknaam '[-']]]="","",A70+1),1)</f>
        <v/>
      </c>
      <c r="B71" s="35"/>
      <c r="C71" s="35"/>
      <c r="D71" s="35"/>
      <c r="E71" s="35"/>
      <c r="F71" s="35"/>
      <c r="G71" s="35"/>
      <c r="H71" s="35"/>
      <c r="I71" s="35"/>
    </row>
    <row r="72" spans="1:9" x14ac:dyDescent="0.3">
      <c r="A72" t="str">
        <f>IFERROR(IF(DataDijkvakken[[#This Row],[Vaknaam '[-']]]="","",A71+1),1)</f>
        <v/>
      </c>
      <c r="B72" s="35"/>
      <c r="C72" s="35"/>
      <c r="D72" s="35"/>
      <c r="E72" s="35"/>
      <c r="F72" s="35"/>
      <c r="G72" s="35"/>
      <c r="H72" s="35"/>
      <c r="I72" s="35"/>
    </row>
    <row r="73" spans="1:9" x14ac:dyDescent="0.3">
      <c r="A73" t="str">
        <f>IFERROR(IF(DataDijkvakken[[#This Row],[Vaknaam '[-']]]="","",A72+1),1)</f>
        <v/>
      </c>
      <c r="B73" s="35"/>
      <c r="C73" s="35"/>
      <c r="D73" s="35"/>
      <c r="E73" s="35"/>
      <c r="F73" s="35"/>
      <c r="G73" s="35"/>
      <c r="H73" s="35"/>
      <c r="I73" s="35"/>
    </row>
    <row r="74" spans="1:9" x14ac:dyDescent="0.3">
      <c r="A74" t="str">
        <f>IFERROR(IF(DataDijkvakken[[#This Row],[Vaknaam '[-']]]="","",A73+1),1)</f>
        <v/>
      </c>
      <c r="B74" s="35"/>
      <c r="C74" s="35"/>
      <c r="D74" s="35"/>
      <c r="E74" s="35"/>
      <c r="F74" s="35"/>
      <c r="G74" s="35"/>
      <c r="H74" s="35"/>
      <c r="I74" s="35"/>
    </row>
    <row r="75" spans="1:9" x14ac:dyDescent="0.3">
      <c r="A75" t="str">
        <f>IFERROR(IF(DataDijkvakken[[#This Row],[Vaknaam '[-']]]="","",A74+1),1)</f>
        <v/>
      </c>
      <c r="B75" s="35"/>
      <c r="C75" s="35"/>
      <c r="D75" s="35"/>
      <c r="E75" s="35"/>
      <c r="F75" s="35"/>
      <c r="G75" s="35"/>
      <c r="H75" s="35"/>
      <c r="I75" s="35"/>
    </row>
    <row r="76" spans="1:9" x14ac:dyDescent="0.3">
      <c r="A76" t="str">
        <f>IFERROR(IF(DataDijkvakken[[#This Row],[Vaknaam '[-']]]="","",A75+1),1)</f>
        <v/>
      </c>
      <c r="B76" s="35"/>
      <c r="C76" s="35"/>
      <c r="D76" s="35"/>
      <c r="E76" s="35"/>
      <c r="F76" s="35"/>
      <c r="G76" s="35"/>
      <c r="H76" s="35"/>
      <c r="I76" s="35"/>
    </row>
    <row r="77" spans="1:9" x14ac:dyDescent="0.3">
      <c r="A77" t="str">
        <f>IFERROR(IF(DataDijkvakken[[#This Row],[Vaknaam '[-']]]="","",A76+1),1)</f>
        <v/>
      </c>
      <c r="B77" s="35"/>
      <c r="C77" s="35"/>
      <c r="D77" s="35"/>
      <c r="E77" s="35"/>
      <c r="F77" s="35"/>
      <c r="G77" s="35"/>
      <c r="H77" s="35"/>
      <c r="I77" s="35"/>
    </row>
    <row r="78" spans="1:9" x14ac:dyDescent="0.3">
      <c r="A78" t="str">
        <f>IFERROR(IF(DataDijkvakken[[#This Row],[Vaknaam '[-']]]="","",A77+1),1)</f>
        <v/>
      </c>
      <c r="B78" s="35"/>
      <c r="C78" s="35"/>
      <c r="D78" s="35"/>
      <c r="E78" s="35"/>
      <c r="F78" s="35"/>
      <c r="G78" s="35"/>
      <c r="H78" s="35"/>
      <c r="I78" s="35"/>
    </row>
    <row r="79" spans="1:9" x14ac:dyDescent="0.3">
      <c r="A79" t="str">
        <f>IFERROR(IF(DataDijkvakken[[#This Row],[Vaknaam '[-']]]="","",A78+1),1)</f>
        <v/>
      </c>
      <c r="B79" s="35"/>
      <c r="C79" s="35"/>
      <c r="D79" s="35"/>
      <c r="E79" s="35"/>
      <c r="F79" s="35"/>
      <c r="G79" s="35"/>
      <c r="H79" s="35"/>
      <c r="I79" s="35"/>
    </row>
    <row r="80" spans="1:9" x14ac:dyDescent="0.3">
      <c r="A80" t="str">
        <f>IFERROR(IF(DataDijkvakken[[#This Row],[Vaknaam '[-']]]="","",A79+1),1)</f>
        <v/>
      </c>
      <c r="B80" s="35"/>
      <c r="C80" s="35"/>
      <c r="D80" s="35"/>
      <c r="E80" s="35"/>
      <c r="F80" s="35"/>
      <c r="G80" s="35"/>
      <c r="H80" s="35"/>
      <c r="I80" s="35"/>
    </row>
    <row r="81" spans="1:9" x14ac:dyDescent="0.3">
      <c r="A81" t="str">
        <f>IFERROR(IF(DataDijkvakken[[#This Row],[Vaknaam '[-']]]="","",A80+1),1)</f>
        <v/>
      </c>
      <c r="B81" s="35"/>
      <c r="C81" s="35"/>
      <c r="D81" s="35"/>
      <c r="E81" s="35"/>
      <c r="F81" s="35"/>
      <c r="G81" s="35"/>
      <c r="H81" s="35"/>
      <c r="I81" s="35"/>
    </row>
    <row r="82" spans="1:9" x14ac:dyDescent="0.3">
      <c r="A82" t="str">
        <f>IFERROR(IF(DataDijkvakken[[#This Row],[Vaknaam '[-']]]="","",A81+1),1)</f>
        <v/>
      </c>
      <c r="B82" s="35"/>
      <c r="C82" s="35"/>
      <c r="D82" s="35"/>
      <c r="E82" s="35"/>
      <c r="F82" s="35"/>
      <c r="G82" s="35"/>
      <c r="H82" s="35"/>
      <c r="I82" s="35"/>
    </row>
    <row r="83" spans="1:9" x14ac:dyDescent="0.3">
      <c r="A83" t="str">
        <f>IFERROR(IF(DataDijkvakken[[#This Row],[Vaknaam '[-']]]="","",A82+1),1)</f>
        <v/>
      </c>
      <c r="B83" s="35"/>
      <c r="C83" s="35"/>
      <c r="D83" s="35"/>
      <c r="E83" s="35"/>
      <c r="F83" s="35"/>
      <c r="G83" s="35"/>
      <c r="H83" s="35"/>
      <c r="I83" s="35"/>
    </row>
    <row r="84" spans="1:9" x14ac:dyDescent="0.3">
      <c r="A84" t="str">
        <f>IFERROR(IF(DataDijkvakken[[#This Row],[Vaknaam '[-']]]="","",A83+1),1)</f>
        <v/>
      </c>
      <c r="B84" s="35"/>
      <c r="C84" s="35"/>
      <c r="D84" s="35"/>
      <c r="E84" s="35"/>
      <c r="F84" s="35"/>
      <c r="G84" s="35"/>
      <c r="H84" s="35"/>
      <c r="I84" s="35"/>
    </row>
    <row r="85" spans="1:9" x14ac:dyDescent="0.3">
      <c r="A85" t="str">
        <f>IFERROR(IF(DataDijkvakken[[#This Row],[Vaknaam '[-']]]="","",A84+1),1)</f>
        <v/>
      </c>
      <c r="B85" s="35"/>
      <c r="C85" s="35"/>
      <c r="D85" s="35"/>
      <c r="E85" s="35"/>
      <c r="F85" s="35"/>
      <c r="G85" s="35"/>
      <c r="H85" s="35"/>
      <c r="I85" s="35"/>
    </row>
    <row r="86" spans="1:9" x14ac:dyDescent="0.3">
      <c r="A86" t="str">
        <f>IFERROR(IF(DataDijkvakken[[#This Row],[Vaknaam '[-']]]="","",A85+1),1)</f>
        <v/>
      </c>
      <c r="B86" s="35"/>
      <c r="C86" s="35"/>
      <c r="D86" s="35"/>
      <c r="E86" s="35"/>
      <c r="F86" s="35"/>
      <c r="G86" s="35"/>
      <c r="H86" s="35"/>
      <c r="I86" s="35"/>
    </row>
    <row r="87" spans="1:9" x14ac:dyDescent="0.3">
      <c r="A87" t="str">
        <f>IFERROR(IF(DataDijkvakken[[#This Row],[Vaknaam '[-']]]="","",A86+1),1)</f>
        <v/>
      </c>
      <c r="B87" s="35"/>
      <c r="C87" s="35"/>
      <c r="D87" s="35"/>
      <c r="E87" s="35"/>
      <c r="F87" s="35"/>
      <c r="G87" s="35"/>
      <c r="H87" s="35"/>
      <c r="I87" s="35"/>
    </row>
    <row r="88" spans="1:9" x14ac:dyDescent="0.3">
      <c r="A88" t="str">
        <f>IFERROR(IF(DataDijkvakken[[#This Row],[Vaknaam '[-']]]="","",A87+1),1)</f>
        <v/>
      </c>
      <c r="B88" s="35"/>
      <c r="C88" s="35"/>
      <c r="D88" s="35"/>
      <c r="E88" s="35"/>
      <c r="F88" s="35"/>
      <c r="G88" s="35"/>
      <c r="H88" s="35"/>
      <c r="I88" s="35"/>
    </row>
    <row r="89" spans="1:9" x14ac:dyDescent="0.3">
      <c r="A89" t="str">
        <f>IFERROR(IF(DataDijkvakken[[#This Row],[Vaknaam '[-']]]="","",A88+1),1)</f>
        <v/>
      </c>
      <c r="B89" s="35"/>
      <c r="C89" s="35"/>
      <c r="D89" s="35"/>
      <c r="E89" s="35"/>
      <c r="F89" s="35"/>
      <c r="G89" s="35"/>
      <c r="H89" s="35"/>
      <c r="I89" s="35"/>
    </row>
    <row r="90" spans="1:9" x14ac:dyDescent="0.3">
      <c r="A90" t="str">
        <f>IFERROR(IF(DataDijkvakken[[#This Row],[Vaknaam '[-']]]="","",A89+1),1)</f>
        <v/>
      </c>
      <c r="B90" s="35"/>
      <c r="C90" s="35"/>
      <c r="D90" s="35"/>
      <c r="E90" s="35"/>
      <c r="F90" s="35"/>
      <c r="G90" s="35"/>
      <c r="H90" s="35"/>
      <c r="I90" s="35"/>
    </row>
    <row r="91" spans="1:9" x14ac:dyDescent="0.3">
      <c r="A91" t="str">
        <f>IFERROR(IF(DataDijkvakken[[#This Row],[Vaknaam '[-']]]="","",A90+1),1)</f>
        <v/>
      </c>
      <c r="B91" s="35"/>
      <c r="C91" s="35"/>
      <c r="D91" s="35"/>
      <c r="E91" s="35"/>
      <c r="F91" s="35"/>
      <c r="G91" s="35"/>
      <c r="H91" s="35"/>
      <c r="I91" s="35"/>
    </row>
    <row r="92" spans="1:9" x14ac:dyDescent="0.3">
      <c r="A92" t="str">
        <f>IFERROR(IF(DataDijkvakken[[#This Row],[Vaknaam '[-']]]="","",A91+1),1)</f>
        <v/>
      </c>
      <c r="B92" s="35"/>
      <c r="C92" s="35"/>
      <c r="D92" s="35"/>
      <c r="E92" s="35"/>
      <c r="F92" s="35"/>
      <c r="G92" s="35"/>
      <c r="H92" s="35"/>
      <c r="I92" s="35"/>
    </row>
    <row r="93" spans="1:9" x14ac:dyDescent="0.3">
      <c r="A93" t="str">
        <f>IFERROR(IF(DataDijkvakken[[#This Row],[Vaknaam '[-']]]="","",A92+1),1)</f>
        <v/>
      </c>
      <c r="B93" s="35"/>
      <c r="C93" s="35"/>
      <c r="D93" s="35"/>
      <c r="E93" s="35"/>
      <c r="F93" s="35"/>
      <c r="G93" s="35"/>
      <c r="H93" s="35"/>
      <c r="I93" s="35"/>
    </row>
    <row r="94" spans="1:9" x14ac:dyDescent="0.3">
      <c r="A94" t="str">
        <f>IFERROR(IF(DataDijkvakken[[#This Row],[Vaknaam '[-']]]="","",A93+1),1)</f>
        <v/>
      </c>
      <c r="B94" s="35"/>
      <c r="C94" s="35"/>
      <c r="D94" s="35"/>
      <c r="E94" s="35"/>
      <c r="F94" s="35"/>
      <c r="G94" s="35"/>
      <c r="H94" s="35"/>
      <c r="I94" s="35"/>
    </row>
    <row r="95" spans="1:9" x14ac:dyDescent="0.3">
      <c r="A95" t="str">
        <f>IFERROR(IF(DataDijkvakken[[#This Row],[Vaknaam '[-']]]="","",A94+1),1)</f>
        <v/>
      </c>
      <c r="B95" s="35"/>
      <c r="C95" s="35"/>
      <c r="D95" s="35"/>
      <c r="E95" s="35"/>
      <c r="F95" s="35"/>
      <c r="G95" s="35"/>
      <c r="H95" s="35"/>
      <c r="I95" s="35"/>
    </row>
    <row r="96" spans="1:9" x14ac:dyDescent="0.3">
      <c r="A96" t="str">
        <f>IFERROR(IF(DataDijkvakken[[#This Row],[Vaknaam '[-']]]="","",A95+1),1)</f>
        <v/>
      </c>
      <c r="B96" s="35"/>
      <c r="C96" s="35"/>
      <c r="D96" s="35"/>
      <c r="E96" s="35"/>
      <c r="F96" s="35"/>
      <c r="G96" s="35"/>
      <c r="H96" s="35"/>
      <c r="I96" s="35"/>
    </row>
    <row r="97" spans="1:9" x14ac:dyDescent="0.3">
      <c r="A97" t="str">
        <f>IFERROR(IF(DataDijkvakken[[#This Row],[Vaknaam '[-']]]="","",A96+1),1)</f>
        <v/>
      </c>
      <c r="B97" s="35"/>
      <c r="C97" s="35"/>
      <c r="D97" s="35"/>
      <c r="E97" s="35"/>
      <c r="F97" s="35"/>
      <c r="G97" s="35"/>
      <c r="H97" s="35"/>
      <c r="I97" s="35"/>
    </row>
    <row r="98" spans="1:9" x14ac:dyDescent="0.3">
      <c r="A98" t="str">
        <f>IFERROR(IF(DataDijkvakken[[#This Row],[Vaknaam '[-']]]="","",A97+1),1)</f>
        <v/>
      </c>
      <c r="B98" s="35"/>
      <c r="C98" s="35"/>
      <c r="D98" s="35"/>
      <c r="E98" s="35"/>
      <c r="F98" s="35"/>
      <c r="G98" s="35"/>
      <c r="H98" s="35"/>
      <c r="I98" s="35"/>
    </row>
    <row r="99" spans="1:9" x14ac:dyDescent="0.3">
      <c r="A99" t="str">
        <f>IFERROR(IF(DataDijkvakken[[#This Row],[Vaknaam '[-']]]="","",A98+1),1)</f>
        <v/>
      </c>
      <c r="B99" s="35"/>
      <c r="C99" s="35"/>
      <c r="D99" s="35"/>
      <c r="E99" s="35"/>
      <c r="F99" s="35"/>
      <c r="G99" s="35"/>
      <c r="H99" s="35"/>
      <c r="I99" s="35"/>
    </row>
    <row r="100" spans="1:9" x14ac:dyDescent="0.3">
      <c r="A100" t="str">
        <f>IFERROR(IF(DataDijkvakken[[#This Row],[Vaknaam '[-']]]="","",A99+1),1)</f>
        <v/>
      </c>
      <c r="B100" s="35"/>
      <c r="C100" s="35"/>
      <c r="D100" s="35"/>
      <c r="E100" s="35"/>
      <c r="F100" s="35"/>
      <c r="G100" s="35"/>
      <c r="H100" s="35"/>
      <c r="I100" s="35"/>
    </row>
    <row r="101" spans="1:9" x14ac:dyDescent="0.3"/>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6F28-58B8-4ADF-9C66-13CFABEAEFC6}">
  <sheetPr codeName="Sheet5"/>
  <dimension ref="A2:AA55"/>
  <sheetViews>
    <sheetView showGridLines="0" workbookViewId="0">
      <selection activeCell="C16" sqref="C16"/>
    </sheetView>
  </sheetViews>
  <sheetFormatPr defaultRowHeight="14.4" x14ac:dyDescent="0.3"/>
  <cols>
    <col min="2" max="2" width="16.6640625" bestFit="1" customWidth="1"/>
    <col min="3" max="3" width="14.44140625" bestFit="1" customWidth="1"/>
    <col min="5" max="5" width="89.88671875" customWidth="1"/>
  </cols>
  <sheetData>
    <row r="2" spans="2:5" x14ac:dyDescent="0.3">
      <c r="B2" t="s">
        <v>210</v>
      </c>
      <c r="C2" t="s">
        <v>171</v>
      </c>
    </row>
    <row r="3" spans="2:5" x14ac:dyDescent="0.3">
      <c r="B3" s="8" t="s">
        <v>35</v>
      </c>
      <c r="C3" s="8" t="s">
        <v>173</v>
      </c>
    </row>
    <row r="4" spans="2:5" x14ac:dyDescent="0.3">
      <c r="B4" s="8" t="s">
        <v>36</v>
      </c>
      <c r="C4" s="8" t="s">
        <v>174</v>
      </c>
    </row>
    <row r="5" spans="2:5" x14ac:dyDescent="0.3">
      <c r="B5" s="8" t="s">
        <v>37</v>
      </c>
      <c r="C5" s="8" t="s">
        <v>175</v>
      </c>
    </row>
    <row r="6" spans="2:5" x14ac:dyDescent="0.3">
      <c r="B6" s="8" t="s">
        <v>38</v>
      </c>
      <c r="C6" s="8" t="s">
        <v>106</v>
      </c>
    </row>
    <row r="7" spans="2:5" x14ac:dyDescent="0.3">
      <c r="B7" s="8" t="s">
        <v>39</v>
      </c>
      <c r="C7" s="8" t="s">
        <v>106</v>
      </c>
    </row>
    <row r="8" spans="2:5" x14ac:dyDescent="0.3">
      <c r="B8" s="8" t="s">
        <v>40</v>
      </c>
      <c r="C8" s="8" t="s">
        <v>106</v>
      </c>
    </row>
    <row r="9" spans="2:5" x14ac:dyDescent="0.3">
      <c r="B9" s="37" t="s">
        <v>217</v>
      </c>
      <c r="C9" s="36">
        <f>MAX(DataDijkvakken!A2:A100)</f>
        <v>51</v>
      </c>
    </row>
    <row r="10" spans="2:5" ht="28.8" x14ac:dyDescent="0.3">
      <c r="E10" s="38" t="s">
        <v>220</v>
      </c>
    </row>
    <row r="11" spans="2:5" x14ac:dyDescent="0.3">
      <c r="E11" s="3"/>
    </row>
    <row r="12" spans="2:5" ht="43.2" x14ac:dyDescent="0.3">
      <c r="E12" s="3" t="s">
        <v>219</v>
      </c>
    </row>
    <row r="50" spans="1:27" x14ac:dyDescent="0.3">
      <c r="A50">
        <f>IFERROR(IF(Ondergrondscenarios[[#This Row],[Scenarionaam '[-']]]="","",A49+1),1)</f>
        <v>1</v>
      </c>
      <c r="B50">
        <f>A55/6</f>
        <v>1</v>
      </c>
      <c r="C50" t="str">
        <f>VLOOKUP(Ondergrondscenarios[[#This Row],[VakID '[-']]],DataDijkvakken!A:I,2,FALSE)</f>
        <v>03d</v>
      </c>
      <c r="D50" s="8" t="str">
        <f>GenererenScenarios!$B$3</f>
        <v>P_S1_PL</v>
      </c>
      <c r="E50" s="8" t="str">
        <f>GenererenScenarios!$C$3</f>
        <v>Pleistoceen</v>
      </c>
      <c r="F50" s="26">
        <v>0</v>
      </c>
      <c r="G50" s="29">
        <f>VLOOKUP($C50,DataDijkvakken!$B:$G,2,FALSE)</f>
        <v>3.5873949999999999</v>
      </c>
      <c r="H50" s="7"/>
      <c r="I50" s="7"/>
      <c r="J50" s="29">
        <f>IF(Ondergrondscenarios[[#This Row],[Scenariotype '[-']]]="-","",IF(Ondergrondscenarios[[#This Row],[Scenariotype '[-']]]="Pleistoceen",Ondergrondscenarios[[#This Row],[Top_Pleistoceen_zand '[m NAP']]],Ondergrondscenarios[[#This Row],[Top_Holoceen_zand '[m NAP']]]))</f>
        <v>0</v>
      </c>
      <c r="K50" s="29">
        <f t="shared" ref="K50:K55" si="0">IFERROR(MAX(G50-J50,0),"")</f>
        <v>3.5873949999999999</v>
      </c>
      <c r="L50" s="7">
        <f>IF(I50="",0,IF(Ondergrondscenarios[[#This Row],[Scenariotype '[-']]]="Pleistoceen",0,MAX(H50-I50,0)))</f>
        <v>0</v>
      </c>
      <c r="M50" s="29">
        <f>IF(Ondergrondscenarios[[#This Row],[Scenariotype '[-']]]="Tussenzandlaag",0,VLOOKUP($C50,DataDijkvakken[#All],4,FALSE))</f>
        <v>49.5</v>
      </c>
      <c r="N50" s="29">
        <f t="shared" ref="N50:N55" si="1">MAX(M50+L50,0.1)</f>
        <v>49.5</v>
      </c>
      <c r="O50" s="29">
        <f>VLOOKUP($C50,DataDijkvakken!$B:$G,5,FALSE)</f>
        <v>15</v>
      </c>
      <c r="P50" s="29">
        <f>VLOOKUP($C50,DataDijkvakken!$B:$G,6,FALSE)</f>
        <v>42.676767676767675</v>
      </c>
      <c r="Q50" s="29">
        <f t="shared" ref="Q50:Q55" si="2">MAX(((L50*O50)+(M50*P50))/N50,0.1)</f>
        <v>42.676767676767675</v>
      </c>
      <c r="R50" s="7"/>
      <c r="S50" s="27"/>
      <c r="T50" s="32">
        <f t="shared" ref="T50:T55" si="3">SQRT(R50*S50)</f>
        <v>0</v>
      </c>
      <c r="U50" s="27"/>
      <c r="V50">
        <f t="shared" ref="V50:V55" si="4">IFERROR(IF(K50&lt;grensDikte,K50/doorlatendheidDunneDeklaag,(grensDikte/doorlatendheidDunneDeklaag)+((K50-grensDikte)/doorlatendheidDikkeDeklaag)),"")</f>
        <v>223.73949999999999</v>
      </c>
      <c r="W50" s="31">
        <f t="shared" ref="W50:W55" si="5">IFERROR(IF(U50="",SQRT(R50*V50),SQRT(R50*U50)),"")</f>
        <v>0</v>
      </c>
      <c r="X50" s="33"/>
      <c r="Y50">
        <f>IF(Ondergrondscenarios[[#This Row],[Scenariotype '[-']]]="-","",IF(Ondergrondscenarios[[#This Row],[Scenariotype '[-']]]="Pleistoceen",VLOOKUP(Ondergrondscenarios[[#This Row],[Vaknaam '[-']]],DataDijkvakken[#All],8,FALSE),VLOOKUP(Ondergrondscenarios[[#This Row],[Vaknaam '[-']]],DataDijkvakken[#All],7,FALSE)))</f>
        <v>3.5000000000000005E-4</v>
      </c>
      <c r="Z50">
        <f>VLOOKUP($C50,DataDijkvakken[#All],3,FALSE)</f>
        <v>18</v>
      </c>
      <c r="AA50" s="8"/>
    </row>
    <row r="51" spans="1:27" x14ac:dyDescent="0.3">
      <c r="A51">
        <f>IFERROR(IF(Ondergrondscenarios[[#This Row],[Scenarionaam '[-']]]="","",A50+1),1)</f>
        <v>2</v>
      </c>
      <c r="B51">
        <f>A55/6</f>
        <v>1</v>
      </c>
      <c r="C51" t="str">
        <f>VLOOKUP(Ondergrondscenarios[[#This Row],[VakID '[-']]],DataDijkvakken!A:I,2,FALSE)</f>
        <v>03d</v>
      </c>
      <c r="D51" s="8" t="str">
        <f>GenererenScenarios!$B$4</f>
        <v>P_S2_HL_F</v>
      </c>
      <c r="E51" s="8" t="str">
        <f>GenererenScenarios!$C$4</f>
        <v>Holoceen</v>
      </c>
      <c r="F51" s="26">
        <v>0</v>
      </c>
      <c r="G51" s="29">
        <f>VLOOKUP($C51,DataDijkvakken!$B:$G,2,FALSE)</f>
        <v>3.5873949999999999</v>
      </c>
      <c r="H51" s="7"/>
      <c r="I51" s="7"/>
      <c r="J51" s="29">
        <f>IF(Ondergrondscenarios[[#This Row],[Scenariotype '[-']]]="-","",IF(Ondergrondscenarios[[#This Row],[Scenariotype '[-']]]="Pleistoceen",Ondergrondscenarios[[#This Row],[Top_Pleistoceen_zand '[m NAP']]],Ondergrondscenarios[[#This Row],[Top_Holoceen_zand '[m NAP']]]))</f>
        <v>0</v>
      </c>
      <c r="K51" s="29">
        <f t="shared" si="0"/>
        <v>3.5873949999999999</v>
      </c>
      <c r="L51" s="7">
        <f>IF(I51="",0,IF(Ondergrondscenarios[[#This Row],[Scenariotype '[-']]]="Pleistoceen",0,MAX(H51-I51,0)))</f>
        <v>0</v>
      </c>
      <c r="M51" s="29">
        <f>IF(Ondergrondscenarios[[#This Row],[Scenariotype '[-']]]="Tussenzandlaag",0,VLOOKUP($C51,DataDijkvakken[#All],4,FALSE))</f>
        <v>49.5</v>
      </c>
      <c r="N51" s="29">
        <f t="shared" si="1"/>
        <v>49.5</v>
      </c>
      <c r="O51" s="29">
        <f>VLOOKUP($C51,DataDijkvakken!$B:$G,5,FALSE)</f>
        <v>15</v>
      </c>
      <c r="P51" s="29">
        <f>VLOOKUP($C51,DataDijkvakken!$B:$G,6,FALSE)</f>
        <v>42.676767676767675</v>
      </c>
      <c r="Q51" s="29">
        <f t="shared" si="2"/>
        <v>42.676767676767675</v>
      </c>
      <c r="R51" s="7"/>
      <c r="S51" s="27"/>
      <c r="T51" s="32">
        <f t="shared" si="3"/>
        <v>0</v>
      </c>
      <c r="U51" s="27"/>
      <c r="V51">
        <f t="shared" si="4"/>
        <v>223.73949999999999</v>
      </c>
      <c r="W51" s="31">
        <f t="shared" si="5"/>
        <v>0</v>
      </c>
      <c r="X51" s="33"/>
      <c r="Y51">
        <f>IF(Ondergrondscenarios[[#This Row],[Scenariotype '[-']]]="-","",IF(Ondergrondscenarios[[#This Row],[Scenariotype '[-']]]="Pleistoceen",VLOOKUP(Ondergrondscenarios[[#This Row],[Vaknaam '[-']]],DataDijkvakken[#All],8,FALSE),VLOOKUP(Ondergrondscenarios[[#This Row],[Vaknaam '[-']]],DataDijkvakken[#All],7,FALSE)))</f>
        <v>2.8000000000000003E-4</v>
      </c>
      <c r="Z51">
        <f>VLOOKUP($C51,DataDijkvakken[#All],3,FALSE)</f>
        <v>18</v>
      </c>
      <c r="AA51" s="8"/>
    </row>
    <row r="52" spans="1:27" x14ac:dyDescent="0.3">
      <c r="A52">
        <f>IFERROR(IF(Ondergrondscenarios[[#This Row],[Scenarionaam '[-']]]="","",A51+1),1)</f>
        <v>3</v>
      </c>
      <c r="B52">
        <f>A55/6</f>
        <v>1</v>
      </c>
      <c r="C52" t="str">
        <f>VLOOKUP(Ondergrondscenarios[[#This Row],[VakID '[-']]],DataDijkvakken!A:I,2,FALSE)</f>
        <v>03d</v>
      </c>
      <c r="D52" s="8" t="str">
        <f>GenererenScenarios!$B$5</f>
        <v>P_S3_HL_TZ</v>
      </c>
      <c r="E52" s="8" t="str">
        <f>GenererenScenarios!$C$5</f>
        <v>Tussenzandlaag</v>
      </c>
      <c r="F52" s="26">
        <v>0</v>
      </c>
      <c r="G52" s="29">
        <f>VLOOKUP($C52,DataDijkvakken!$B:$G,2,FALSE)</f>
        <v>3.5873949999999999</v>
      </c>
      <c r="H52" s="7"/>
      <c r="I52" s="7"/>
      <c r="J52" s="29">
        <f>IF(Ondergrondscenarios[[#This Row],[Scenariotype '[-']]]="-","",IF(Ondergrondscenarios[[#This Row],[Scenariotype '[-']]]="Pleistoceen",Ondergrondscenarios[[#This Row],[Top_Pleistoceen_zand '[m NAP']]],Ondergrondscenarios[[#This Row],[Top_Holoceen_zand '[m NAP']]]))</f>
        <v>0</v>
      </c>
      <c r="K52" s="29">
        <f t="shared" si="0"/>
        <v>3.5873949999999999</v>
      </c>
      <c r="L52" s="7">
        <f>IF(I52="",0,IF(Ondergrondscenarios[[#This Row],[Scenariotype '[-']]]="Pleistoceen",0,MAX(H52-I52,0)))</f>
        <v>0</v>
      </c>
      <c r="M52" s="29">
        <f>IF(Ondergrondscenarios[[#This Row],[Scenariotype '[-']]]="Tussenzandlaag",0,VLOOKUP($C52,DataDijkvakken[#All],4,FALSE))</f>
        <v>0</v>
      </c>
      <c r="N52" s="29">
        <f t="shared" si="1"/>
        <v>0.1</v>
      </c>
      <c r="O52" s="29">
        <f>VLOOKUP($C52,DataDijkvakken!$B:$G,5,FALSE)</f>
        <v>15</v>
      </c>
      <c r="P52" s="29">
        <f>VLOOKUP($C52,DataDijkvakken!$B:$G,6,FALSE)</f>
        <v>42.676767676767675</v>
      </c>
      <c r="Q52" s="29">
        <f t="shared" si="2"/>
        <v>0.1</v>
      </c>
      <c r="R52" s="7"/>
      <c r="S52" s="27"/>
      <c r="T52" s="32">
        <f t="shared" si="3"/>
        <v>0</v>
      </c>
      <c r="U52" s="27"/>
      <c r="V52">
        <f t="shared" si="4"/>
        <v>223.73949999999999</v>
      </c>
      <c r="W52" s="31">
        <f t="shared" si="5"/>
        <v>0</v>
      </c>
      <c r="X52" s="33"/>
      <c r="Y52">
        <f>IF(Ondergrondscenarios[[#This Row],[Scenariotype '[-']]]="-","",IF(Ondergrondscenarios[[#This Row],[Scenariotype '[-']]]="Pleistoceen",VLOOKUP(Ondergrondscenarios[[#This Row],[Vaknaam '[-']]],DataDijkvakken[#All],8,FALSE),VLOOKUP(Ondergrondscenarios[[#This Row],[Vaknaam '[-']]],DataDijkvakken[#All],7,FALSE)))</f>
        <v>2.8000000000000003E-4</v>
      </c>
      <c r="Z52">
        <f>VLOOKUP($C52,DataDijkvakken[#All],3,FALSE)</f>
        <v>18</v>
      </c>
      <c r="AA52" s="8"/>
    </row>
    <row r="53" spans="1:27" x14ac:dyDescent="0.3">
      <c r="A53">
        <f>IFERROR(IF(Ondergrondscenarios[[#This Row],[Scenarionaam '[-']]]="","",A52+1),1)</f>
        <v>4</v>
      </c>
      <c r="B53">
        <f>A55/6</f>
        <v>1</v>
      </c>
      <c r="C53" t="str">
        <f>VLOOKUP(Ondergrondscenarios[[#This Row],[VakID '[-']]],DataDijkvakken!A:I,2,FALSE)</f>
        <v>03d</v>
      </c>
      <c r="D53" s="8" t="str">
        <f>GenererenScenarios!$B$6</f>
        <v>P_S4</v>
      </c>
      <c r="E53" s="8" t="str">
        <f>GenererenScenarios!$C$6</f>
        <v>-</v>
      </c>
      <c r="F53" s="26">
        <v>0</v>
      </c>
      <c r="G53" s="29">
        <f>VLOOKUP($C53,DataDijkvakken!$B:$G,2,FALSE)</f>
        <v>3.5873949999999999</v>
      </c>
      <c r="H53" s="7"/>
      <c r="I53" s="7"/>
      <c r="J53" s="29" t="str">
        <f>IF(Ondergrondscenarios[[#This Row],[Scenariotype '[-']]]="-","",IF(Ondergrondscenarios[[#This Row],[Scenariotype '[-']]]="Pleistoceen",Ondergrondscenarios[[#This Row],[Top_Pleistoceen_zand '[m NAP']]],Ondergrondscenarios[[#This Row],[Top_Holoceen_zand '[m NAP']]]))</f>
        <v/>
      </c>
      <c r="K53" s="29" t="str">
        <f t="shared" si="0"/>
        <v/>
      </c>
      <c r="L53" s="7">
        <f>IF(I53="",0,IF(Ondergrondscenarios[[#This Row],[Scenariotype '[-']]]="Pleistoceen",0,MAX(H53-I53,0)))</f>
        <v>0</v>
      </c>
      <c r="M53" s="29">
        <f>IF(Ondergrondscenarios[[#This Row],[Scenariotype '[-']]]="Tussenzandlaag",0,VLOOKUP($C53,DataDijkvakken[#All],4,FALSE))</f>
        <v>49.5</v>
      </c>
      <c r="N53" s="29">
        <f t="shared" si="1"/>
        <v>49.5</v>
      </c>
      <c r="O53" s="29">
        <f>VLOOKUP($C53,DataDijkvakken!$B:$G,5,FALSE)</f>
        <v>15</v>
      </c>
      <c r="P53" s="29">
        <f>VLOOKUP($C53,DataDijkvakken!$B:$G,6,FALSE)</f>
        <v>42.676767676767675</v>
      </c>
      <c r="Q53" s="29">
        <f t="shared" si="2"/>
        <v>42.676767676767675</v>
      </c>
      <c r="R53" s="7"/>
      <c r="S53" s="27"/>
      <c r="T53" s="32">
        <f t="shared" si="3"/>
        <v>0</v>
      </c>
      <c r="U53" s="27"/>
      <c r="V53" t="str">
        <f t="shared" si="4"/>
        <v/>
      </c>
      <c r="W53" s="31" t="str">
        <f t="shared" si="5"/>
        <v/>
      </c>
      <c r="X53" s="33"/>
      <c r="Y53" t="str">
        <f>IF(Ondergrondscenarios[[#This Row],[Scenariotype '[-']]]="-","",IF(Ondergrondscenarios[[#This Row],[Scenariotype '[-']]]="Pleistoceen",VLOOKUP(Ondergrondscenarios[[#This Row],[Vaknaam '[-']]],DataDijkvakken[#All],8,FALSE),VLOOKUP(Ondergrondscenarios[[#This Row],[Vaknaam '[-']]],DataDijkvakken[#All],7,FALSE)))</f>
        <v/>
      </c>
      <c r="Z53">
        <f>VLOOKUP($C53,DataDijkvakken[#All],3,FALSE)</f>
        <v>18</v>
      </c>
      <c r="AA53" s="8"/>
    </row>
    <row r="54" spans="1:27" x14ac:dyDescent="0.3">
      <c r="A54">
        <f>IFERROR(IF(Ondergrondscenarios[[#This Row],[Scenarionaam '[-']]]="","",A53+1),1)</f>
        <v>5</v>
      </c>
      <c r="B54">
        <f>A55/6</f>
        <v>1</v>
      </c>
      <c r="C54" t="str">
        <f>VLOOKUP(Ondergrondscenarios[[#This Row],[VakID '[-']]],DataDijkvakken!A:I,2,FALSE)</f>
        <v>03d</v>
      </c>
      <c r="D54" s="8" t="str">
        <f>GenererenScenarios!$B$7</f>
        <v>P_S5</v>
      </c>
      <c r="E54" s="8" t="str">
        <f>GenererenScenarios!$C$7</f>
        <v>-</v>
      </c>
      <c r="F54" s="26">
        <v>0</v>
      </c>
      <c r="G54" s="29">
        <f>VLOOKUP($C54,DataDijkvakken!$B:$G,2,FALSE)</f>
        <v>3.5873949999999999</v>
      </c>
      <c r="H54" s="7"/>
      <c r="I54" s="7"/>
      <c r="J54" s="29" t="str">
        <f>IF(Ondergrondscenarios[[#This Row],[Scenariotype '[-']]]="-","",IF(Ondergrondscenarios[[#This Row],[Scenariotype '[-']]]="Pleistoceen",Ondergrondscenarios[[#This Row],[Top_Pleistoceen_zand '[m NAP']]],Ondergrondscenarios[[#This Row],[Top_Holoceen_zand '[m NAP']]]))</f>
        <v/>
      </c>
      <c r="K54" s="29" t="str">
        <f t="shared" si="0"/>
        <v/>
      </c>
      <c r="L54" s="7">
        <f>IF(I54="",0,IF(Ondergrondscenarios[[#This Row],[Scenariotype '[-']]]="Pleistoceen",0,MAX(H54-I54,0)))</f>
        <v>0</v>
      </c>
      <c r="M54" s="29">
        <f>IF(Ondergrondscenarios[[#This Row],[Scenariotype '[-']]]="Tussenzandlaag",0,VLOOKUP($C54,DataDijkvakken[#All],4,FALSE))</f>
        <v>49.5</v>
      </c>
      <c r="N54" s="29">
        <f t="shared" si="1"/>
        <v>49.5</v>
      </c>
      <c r="O54" s="29">
        <f>VLOOKUP($C54,DataDijkvakken!$B:$G,5,FALSE)</f>
        <v>15</v>
      </c>
      <c r="P54" s="29">
        <f>VLOOKUP($C54,DataDijkvakken!$B:$G,6,FALSE)</f>
        <v>42.676767676767675</v>
      </c>
      <c r="Q54" s="29">
        <f t="shared" si="2"/>
        <v>42.676767676767675</v>
      </c>
      <c r="R54" s="7"/>
      <c r="S54" s="27"/>
      <c r="T54" s="32">
        <f t="shared" si="3"/>
        <v>0</v>
      </c>
      <c r="U54" s="27"/>
      <c r="V54" t="str">
        <f t="shared" si="4"/>
        <v/>
      </c>
      <c r="W54" s="31" t="str">
        <f t="shared" si="5"/>
        <v/>
      </c>
      <c r="X54" s="33"/>
      <c r="Y54" t="str">
        <f>IF(Ondergrondscenarios[[#This Row],[Scenariotype '[-']]]="-","",IF(Ondergrondscenarios[[#This Row],[Scenariotype '[-']]]="Pleistoceen",VLOOKUP(Ondergrondscenarios[[#This Row],[Vaknaam '[-']]],DataDijkvakken[#All],8,FALSE),VLOOKUP(Ondergrondscenarios[[#This Row],[Vaknaam '[-']]],DataDijkvakken[#All],7,FALSE)))</f>
        <v/>
      </c>
      <c r="Z54">
        <f>VLOOKUP($C54,DataDijkvakken[#All],3,FALSE)</f>
        <v>18</v>
      </c>
      <c r="AA54" s="8"/>
    </row>
    <row r="55" spans="1:27" x14ac:dyDescent="0.3">
      <c r="A55">
        <f>IFERROR(IF(Ondergrondscenarios[[#This Row],[Scenarionaam '[-']]]="","",A54+1),1)</f>
        <v>6</v>
      </c>
      <c r="B55">
        <f>A55/6</f>
        <v>1</v>
      </c>
      <c r="C55" t="str">
        <f>VLOOKUP(Ondergrondscenarios[[#This Row],[VakID '[-']]],DataDijkvakken!A:I,2,FALSE)</f>
        <v>03d</v>
      </c>
      <c r="D55" s="8" t="str">
        <f>GenererenScenarios!$B$8</f>
        <v>P_S6</v>
      </c>
      <c r="E55" s="8" t="str">
        <f>GenererenScenarios!$C$8</f>
        <v>-</v>
      </c>
      <c r="F55" s="26">
        <v>0</v>
      </c>
      <c r="G55" s="29">
        <f>VLOOKUP($C55,DataDijkvakken!$B:$G,2,FALSE)</f>
        <v>3.5873949999999999</v>
      </c>
      <c r="H55" s="7"/>
      <c r="I55" s="7"/>
      <c r="J55" s="29" t="str">
        <f>IF(Ondergrondscenarios[[#This Row],[Scenariotype '[-']]]="-","",IF(Ondergrondscenarios[[#This Row],[Scenariotype '[-']]]="Pleistoceen",Ondergrondscenarios[[#This Row],[Top_Pleistoceen_zand '[m NAP']]],Ondergrondscenarios[[#This Row],[Top_Holoceen_zand '[m NAP']]]))</f>
        <v/>
      </c>
      <c r="K55" s="29" t="str">
        <f t="shared" si="0"/>
        <v/>
      </c>
      <c r="L55" s="7">
        <f>IF(I55="",0,IF(Ondergrondscenarios[[#This Row],[Scenariotype '[-']]]="Pleistoceen",0,MAX(H55-I55,0)))</f>
        <v>0</v>
      </c>
      <c r="M55" s="29">
        <f>IF(Ondergrondscenarios[[#This Row],[Scenariotype '[-']]]="Tussenzandlaag",0,VLOOKUP($C55,DataDijkvakken[#All],4,FALSE))</f>
        <v>49.5</v>
      </c>
      <c r="N55" s="29">
        <f t="shared" si="1"/>
        <v>49.5</v>
      </c>
      <c r="O55" s="29">
        <f>VLOOKUP($C55,DataDijkvakken!$B:$G,5,FALSE)</f>
        <v>15</v>
      </c>
      <c r="P55" s="29">
        <f>VLOOKUP($C55,DataDijkvakken!$B:$G,6,FALSE)</f>
        <v>42.676767676767675</v>
      </c>
      <c r="Q55" s="29">
        <f t="shared" si="2"/>
        <v>42.676767676767675</v>
      </c>
      <c r="R55" s="7"/>
      <c r="S55" s="27"/>
      <c r="T55" s="32">
        <f t="shared" si="3"/>
        <v>0</v>
      </c>
      <c r="U55" s="27"/>
      <c r="V55" t="str">
        <f t="shared" si="4"/>
        <v/>
      </c>
      <c r="W55" s="31" t="str">
        <f t="shared" si="5"/>
        <v/>
      </c>
      <c r="X55" s="33"/>
      <c r="Y55" t="str">
        <f>IF(Ondergrondscenarios[[#This Row],[Scenariotype '[-']]]="-","",IF(Ondergrondscenarios[[#This Row],[Scenariotype '[-']]]="Pleistoceen",VLOOKUP(Ondergrondscenarios[[#This Row],[Vaknaam '[-']]],DataDijkvakken[#All],8,FALSE),VLOOKUP(Ondergrondscenarios[[#This Row],[Vaknaam '[-']]],DataDijkvakken[#All],7,FALSE)))</f>
        <v/>
      </c>
      <c r="Z55">
        <f>VLOOKUP($C55,DataDijkvakken[#All],3,FALSE)</f>
        <v>18</v>
      </c>
      <c r="AA55" s="8"/>
    </row>
  </sheetData>
  <dataValidations count="1">
    <dataValidation type="list" allowBlank="1" showInputMessage="1" showErrorMessage="1" sqref="C3:C8 E50:E55" xr:uid="{58FD2EC0-BD89-4AA1-8580-CF6146AC3CBA}">
      <formula1>Scenariotype</formula1>
    </dataValidation>
  </dataValidations>
  <pageMargins left="0.7" right="0.7" top="0.75" bottom="0.75" header="0.3" footer="0.3"/>
  <pageSetup paperSize="9" orientation="portrait" horizontalDpi="1200" verticalDpi="12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0C787-DF1C-4D13-BE25-2E873B496042}">
  <sheetPr codeName="Sheet6"/>
  <dimension ref="A1:AA307"/>
  <sheetViews>
    <sheetView workbookViewId="0">
      <selection activeCell="G9" sqref="G9"/>
    </sheetView>
  </sheetViews>
  <sheetFormatPr defaultRowHeight="14.4" x14ac:dyDescent="0.3"/>
  <cols>
    <col min="1" max="1" width="25.6640625" customWidth="1"/>
    <col min="2" max="2" width="10.88671875" customWidth="1"/>
    <col min="3" max="3" width="13.88671875" customWidth="1"/>
    <col min="4" max="4" width="18.5546875" customWidth="1"/>
    <col min="5" max="5" width="17.33203125" customWidth="1"/>
    <col min="6" max="6" width="22.109375" customWidth="1"/>
    <col min="7" max="7" width="27.5546875" customWidth="1"/>
    <col min="8" max="8" width="29.5546875" customWidth="1"/>
    <col min="9" max="9" width="31.5546875" customWidth="1"/>
    <col min="10" max="10" width="24.44140625" bestFit="1" customWidth="1"/>
    <col min="11" max="11" width="19.5546875" bestFit="1" customWidth="1"/>
    <col min="12" max="12" width="26.6640625" bestFit="1" customWidth="1"/>
    <col min="13" max="13" width="28" bestFit="1" customWidth="1"/>
    <col min="14" max="14" width="16.6640625" bestFit="1" customWidth="1"/>
    <col min="15" max="15" width="26.109375" bestFit="1" customWidth="1"/>
    <col min="16" max="16" width="28.33203125" bestFit="1" customWidth="1"/>
    <col min="17" max="17" width="16.88671875" bestFit="1" customWidth="1"/>
    <col min="18" max="18" width="19.33203125" bestFit="1" customWidth="1"/>
    <col min="19" max="19" width="19.33203125" customWidth="1"/>
    <col min="20" max="20" width="32.33203125" bestFit="1" customWidth="1"/>
    <col min="21" max="21" width="30.44140625" bestFit="1" customWidth="1"/>
    <col min="22" max="22" width="44.33203125" bestFit="1" customWidth="1"/>
    <col min="23" max="23" width="33.6640625" bestFit="1" customWidth="1"/>
    <col min="24" max="25" width="32.109375" bestFit="1" customWidth="1"/>
    <col min="27" max="27" width="33.33203125" bestFit="1" customWidth="1"/>
    <col min="28" max="28" width="36.6640625" bestFit="1" customWidth="1"/>
    <col min="29" max="29" width="30.88671875" customWidth="1"/>
    <col min="30" max="30" width="34.109375" customWidth="1"/>
  </cols>
  <sheetData>
    <row r="1" spans="1:27" x14ac:dyDescent="0.3">
      <c r="A1" t="s">
        <v>165</v>
      </c>
      <c r="B1" t="s">
        <v>166</v>
      </c>
      <c r="C1" t="s">
        <v>167</v>
      </c>
      <c r="D1" t="s">
        <v>168</v>
      </c>
      <c r="E1" t="s">
        <v>172</v>
      </c>
      <c r="F1" t="s">
        <v>169</v>
      </c>
      <c r="G1" t="s">
        <v>170</v>
      </c>
      <c r="H1" t="s">
        <v>180</v>
      </c>
      <c r="I1" t="s">
        <v>181</v>
      </c>
      <c r="J1" t="s">
        <v>182</v>
      </c>
      <c r="K1" t="s">
        <v>214</v>
      </c>
      <c r="L1" t="s">
        <v>186</v>
      </c>
      <c r="M1" t="s">
        <v>177</v>
      </c>
      <c r="N1" t="s">
        <v>201</v>
      </c>
      <c r="O1" t="s">
        <v>202</v>
      </c>
      <c r="P1" t="s">
        <v>179</v>
      </c>
      <c r="Q1" t="s">
        <v>203</v>
      </c>
      <c r="R1" t="s">
        <v>204</v>
      </c>
      <c r="S1" t="s">
        <v>207</v>
      </c>
      <c r="T1" t="s">
        <v>209</v>
      </c>
      <c r="U1" t="s">
        <v>205</v>
      </c>
      <c r="V1" t="s">
        <v>206</v>
      </c>
      <c r="W1" t="s">
        <v>208</v>
      </c>
      <c r="X1" t="s">
        <v>200</v>
      </c>
      <c r="Y1" t="s">
        <v>164</v>
      </c>
      <c r="Z1" t="s">
        <v>216</v>
      </c>
      <c r="AA1" t="s">
        <v>215</v>
      </c>
    </row>
    <row r="2" spans="1:27" x14ac:dyDescent="0.3">
      <c r="A2">
        <f>IFERROR(IF(Ondergrondscenarios[[#This Row],[Scenarionaam '[-']]]="","",A1+1),1)</f>
        <v>1</v>
      </c>
      <c r="B2">
        <f>A7/6</f>
        <v>1</v>
      </c>
      <c r="C2" t="str">
        <f>VLOOKUP(Ondergrondscenarios[[#This Row],[VakID '[-']]],DataDijkvakken!A:I,2,FALSE)</f>
        <v>01a</v>
      </c>
      <c r="D2" s="8" t="str">
        <f>GenererenScenarios!$B$3</f>
        <v>P_S1_PL</v>
      </c>
      <c r="E2" s="8" t="str">
        <f>GenererenScenarios!$C$3</f>
        <v>Pleistoceen</v>
      </c>
      <c r="F2" s="26">
        <v>0.55000000000000004</v>
      </c>
      <c r="G2" s="29">
        <f>VLOOKUP($C2,DataDijkvakken!$B:$G,2,FALSE)</f>
        <v>3.1101967096774192</v>
      </c>
      <c r="H2" s="7"/>
      <c r="I2" s="7"/>
      <c r="J2" s="29">
        <v>-4.2</v>
      </c>
      <c r="K2" s="29">
        <f t="shared" ref="K2:K7" si="0">IFERROR(MAX(G2-J2,0),"")</f>
        <v>7.3101967096774194</v>
      </c>
      <c r="L2" s="7">
        <v>0</v>
      </c>
      <c r="M2" s="29">
        <f>IF(Ondergrondscenarios[[#This Row],[Scenariotype '[-']]]="Tussenzandlaag",0,VLOOKUP($C2,DataDijkvakken[#All],4,FALSE))</f>
        <v>65</v>
      </c>
      <c r="N2" s="29">
        <f t="shared" ref="N2:N7" si="1">MAX(M2+L2,0.1)</f>
        <v>65</v>
      </c>
      <c r="O2" s="29">
        <f>VLOOKUP($C2,DataDijkvakken!$B:$G,5,FALSE)</f>
        <v>15</v>
      </c>
      <c r="P2" s="29">
        <f>VLOOKUP($C2,DataDijkvakken!$B:$G,6,FALSE)</f>
        <v>40.192307692307693</v>
      </c>
      <c r="Q2" s="29">
        <f t="shared" ref="Q2:Q7" si="2">MAX(((L2*O2)+(M2*P2))/N2,0.1)</f>
        <v>40.192307692307693</v>
      </c>
      <c r="R2" s="7">
        <v>2612.5</v>
      </c>
      <c r="S2" s="27"/>
      <c r="T2" s="32">
        <f t="shared" ref="T2:T7" si="3">SQRT(R2*S2)</f>
        <v>0</v>
      </c>
      <c r="U2" s="27"/>
      <c r="V2">
        <f t="shared" ref="V2:V7" si="4">IFERROR(IF(K2&lt;grensDikte,K2/doorlatendheidDunneDeklaag,(grensDikte/doorlatendheidDunneDeklaag)+((K2-grensDikte)/doorlatendheidDikkeDeklaag)),"")</f>
        <v>596.01967096774194</v>
      </c>
      <c r="W2" s="31">
        <f t="shared" ref="W2:W7" si="5">IFERROR(IF(U2="",SQRT(R2*V2),SQRT(R2*U2)),"")</f>
        <v>1247.8386876528655</v>
      </c>
      <c r="X2" s="33"/>
      <c r="Y2">
        <f>IF(Ondergrondscenarios[[#This Row],[Scenariotype '[-']]]="-","",IF(Ondergrondscenarios[[#This Row],[Scenariotype '[-']]]="Pleistoceen",VLOOKUP(Ondergrondscenarios[[#This Row],[Vaknaam '[-']]],DataDijkvakken[#All],8,FALSE),VLOOKUP(Ondergrondscenarios[[#This Row],[Vaknaam '[-']]],DataDijkvakken[#All],7,FALSE)))</f>
        <v>3.5000000000000005E-4</v>
      </c>
      <c r="Z2">
        <f>VLOOKUP($C2,DataDijkvakken[#All],3,FALSE)</f>
        <v>18</v>
      </c>
      <c r="AA2" s="8"/>
    </row>
    <row r="3" spans="1:27" x14ac:dyDescent="0.3">
      <c r="A3">
        <f>IFERROR(IF(Ondergrondscenarios[[#This Row],[Scenarionaam '[-']]]="","",A2+1),1)</f>
        <v>2</v>
      </c>
      <c r="B3">
        <f>A7/6</f>
        <v>1</v>
      </c>
      <c r="C3" t="str">
        <f>VLOOKUP(Ondergrondscenarios[[#This Row],[VakID '[-']]],DataDijkvakken!A:I,2,FALSE)</f>
        <v>01a</v>
      </c>
      <c r="D3" s="8" t="str">
        <f>GenererenScenarios!$B$4</f>
        <v>P_S2_HL_F</v>
      </c>
      <c r="E3" s="8" t="str">
        <f>GenererenScenarios!$C$4</f>
        <v>Holoceen</v>
      </c>
      <c r="F3" s="26">
        <v>0.35</v>
      </c>
      <c r="G3" s="29">
        <f>VLOOKUP($C3,DataDijkvakken!$B:$G,2,FALSE)</f>
        <v>3.1101967096774192</v>
      </c>
      <c r="H3" s="7"/>
      <c r="I3" s="7"/>
      <c r="J3" s="29">
        <v>-1.4</v>
      </c>
      <c r="K3" s="29">
        <f t="shared" si="0"/>
        <v>4.5101967096774196</v>
      </c>
      <c r="L3" s="7">
        <v>2.8000000000000003</v>
      </c>
      <c r="M3" s="29">
        <f>IF(Ondergrondscenarios[[#This Row],[Scenariotype '[-']]]="Tussenzandlaag",0,VLOOKUP($C3,DataDijkvakken[#All],4,FALSE))</f>
        <v>65</v>
      </c>
      <c r="N3" s="29">
        <f t="shared" si="1"/>
        <v>67.8</v>
      </c>
      <c r="O3" s="29">
        <f>VLOOKUP($C3,DataDijkvakken!$B:$G,5,FALSE)</f>
        <v>15</v>
      </c>
      <c r="P3" s="29">
        <f>VLOOKUP($C3,DataDijkvakken!$B:$G,6,FALSE)</f>
        <v>40.192307692307693</v>
      </c>
      <c r="Q3" s="29">
        <f t="shared" si="2"/>
        <v>39.151917404129797</v>
      </c>
      <c r="R3" s="7">
        <v>2654.5</v>
      </c>
      <c r="S3" s="27"/>
      <c r="T3" s="32">
        <f t="shared" si="3"/>
        <v>0</v>
      </c>
      <c r="U3" s="27"/>
      <c r="V3">
        <f t="shared" si="4"/>
        <v>316.01967096774194</v>
      </c>
      <c r="W3" s="31">
        <f t="shared" si="5"/>
        <v>915.90076786946247</v>
      </c>
      <c r="X3" s="33"/>
      <c r="Y3">
        <f>IF(Ondergrondscenarios[[#This Row],[Scenariotype '[-']]]="-","",IF(Ondergrondscenarios[[#This Row],[Scenariotype '[-']]]="Pleistoceen",VLOOKUP(Ondergrondscenarios[[#This Row],[Vaknaam '[-']]],DataDijkvakken[#All],8,FALSE),VLOOKUP(Ondergrondscenarios[[#This Row],[Vaknaam '[-']]],DataDijkvakken[#All],7,FALSE)))</f>
        <v>2.9999999999999997E-4</v>
      </c>
      <c r="Z3">
        <f>VLOOKUP($C3,DataDijkvakken[#All],3,FALSE)</f>
        <v>18</v>
      </c>
      <c r="AA3" s="8"/>
    </row>
    <row r="4" spans="1:27" x14ac:dyDescent="0.3">
      <c r="A4">
        <f>IFERROR(IF(Ondergrondscenarios[[#This Row],[Scenarionaam '[-']]]="","",A3+1),1)</f>
        <v>3</v>
      </c>
      <c r="B4">
        <f>A7/6</f>
        <v>1</v>
      </c>
      <c r="C4" t="str">
        <f>VLOOKUP(Ondergrondscenarios[[#This Row],[VakID '[-']]],DataDijkvakken!A:I,2,FALSE)</f>
        <v>01a</v>
      </c>
      <c r="D4" s="8" t="str">
        <f>GenererenScenarios!$B$5</f>
        <v>P_S3_HL_TZ</v>
      </c>
      <c r="E4" s="8" t="str">
        <f>GenererenScenarios!$C$5</f>
        <v>Tussenzandlaag</v>
      </c>
      <c r="F4" s="26">
        <v>0.1</v>
      </c>
      <c r="G4" s="29">
        <f>VLOOKUP($C4,DataDijkvakken!$B:$G,2,FALSE)</f>
        <v>3.1101967096774192</v>
      </c>
      <c r="H4" s="7"/>
      <c r="I4" s="7"/>
      <c r="J4" s="29">
        <v>-1.4</v>
      </c>
      <c r="K4" s="29">
        <f t="shared" si="0"/>
        <v>4.5101967096774196</v>
      </c>
      <c r="L4" s="7">
        <v>3</v>
      </c>
      <c r="M4" s="29">
        <f>IF(Ondergrondscenarios[[#This Row],[Scenariotype '[-']]]="Tussenzandlaag",0,VLOOKUP($C4,DataDijkvakken[#All],4,FALSE))</f>
        <v>0</v>
      </c>
      <c r="N4" s="29">
        <f t="shared" si="1"/>
        <v>3</v>
      </c>
      <c r="O4" s="29">
        <f>VLOOKUP($C4,DataDijkvakken!$B:$G,5,FALSE)</f>
        <v>15</v>
      </c>
      <c r="P4" s="29">
        <f>VLOOKUP($C4,DataDijkvakken!$B:$G,6,FALSE)</f>
        <v>40.192307692307693</v>
      </c>
      <c r="Q4" s="29">
        <f t="shared" si="2"/>
        <v>15</v>
      </c>
      <c r="R4" s="7">
        <v>45</v>
      </c>
      <c r="S4" s="27"/>
      <c r="T4" s="32">
        <f t="shared" si="3"/>
        <v>0</v>
      </c>
      <c r="U4" s="27"/>
      <c r="V4">
        <f t="shared" si="4"/>
        <v>316.01967096774194</v>
      </c>
      <c r="W4" s="31">
        <f t="shared" si="5"/>
        <v>119.25135300510593</v>
      </c>
      <c r="X4" s="33"/>
      <c r="Y4">
        <f>IF(Ondergrondscenarios[[#This Row],[Scenariotype '[-']]]="-","",IF(Ondergrondscenarios[[#This Row],[Scenariotype '[-']]]="Pleistoceen",VLOOKUP(Ondergrondscenarios[[#This Row],[Vaknaam '[-']]],DataDijkvakken[#All],8,FALSE),VLOOKUP(Ondergrondscenarios[[#This Row],[Vaknaam '[-']]],DataDijkvakken[#All],7,FALSE)))</f>
        <v>2.9999999999999997E-4</v>
      </c>
      <c r="Z4">
        <f>VLOOKUP($C4,DataDijkvakken[#All],3,FALSE)</f>
        <v>18</v>
      </c>
      <c r="AA4" s="8"/>
    </row>
    <row r="5" spans="1:27" x14ac:dyDescent="0.3">
      <c r="A5">
        <f>IFERROR(IF(Ondergrondscenarios[[#This Row],[Scenarionaam '[-']]]="","",A4+1),1)</f>
        <v>4</v>
      </c>
      <c r="B5">
        <f>A7/6</f>
        <v>1</v>
      </c>
      <c r="C5" t="str">
        <f>VLOOKUP(Ondergrondscenarios[[#This Row],[VakID '[-']]],DataDijkvakken!A:I,2,FALSE)</f>
        <v>01a</v>
      </c>
      <c r="D5" s="8" t="str">
        <f>GenererenScenarios!$B$6</f>
        <v>P_S4</v>
      </c>
      <c r="E5" s="8" t="str">
        <f>GenererenScenarios!$C$6</f>
        <v>-</v>
      </c>
      <c r="F5" s="26">
        <v>0</v>
      </c>
      <c r="G5" s="29">
        <f>VLOOKUP($C5,DataDijkvakken!$B:$G,2,FALSE)</f>
        <v>3.1101967096774192</v>
      </c>
      <c r="H5" s="7"/>
      <c r="I5" s="7"/>
      <c r="J5" s="29"/>
      <c r="K5" s="29">
        <f t="shared" si="0"/>
        <v>3.1101967096774192</v>
      </c>
      <c r="L5" s="7"/>
      <c r="M5" s="29">
        <f>IF(Ondergrondscenarios[[#This Row],[Scenariotype '[-']]]="Tussenzandlaag",0,VLOOKUP($C5,DataDijkvakken[#All],4,FALSE))</f>
        <v>65</v>
      </c>
      <c r="N5" s="29">
        <f t="shared" si="1"/>
        <v>65</v>
      </c>
      <c r="O5" s="29">
        <f>VLOOKUP($C5,DataDijkvakken!$B:$G,5,FALSE)</f>
        <v>15</v>
      </c>
      <c r="P5" s="29">
        <f>VLOOKUP($C5,DataDijkvakken!$B:$G,6,FALSE)</f>
        <v>40.192307692307693</v>
      </c>
      <c r="Q5" s="29">
        <f t="shared" si="2"/>
        <v>40.192307692307693</v>
      </c>
      <c r="R5" s="7">
        <v>2612.5</v>
      </c>
      <c r="S5" s="27"/>
      <c r="T5" s="32">
        <f t="shared" si="3"/>
        <v>0</v>
      </c>
      <c r="U5" s="27"/>
      <c r="V5">
        <f t="shared" si="4"/>
        <v>176.01967096774192</v>
      </c>
      <c r="W5" s="31">
        <f t="shared" si="5"/>
        <v>678.12343301439284</v>
      </c>
      <c r="X5" s="33"/>
      <c r="Y5" t="str">
        <f>IF(Ondergrondscenarios[[#This Row],[Scenariotype '[-']]]="-","",IF(Ondergrondscenarios[[#This Row],[Scenariotype '[-']]]="Pleistoceen",VLOOKUP(Ondergrondscenarios[[#This Row],[Vaknaam '[-']]],DataDijkvakken[#All],8,FALSE),VLOOKUP(Ondergrondscenarios[[#This Row],[Vaknaam '[-']]],DataDijkvakken[#All],7,FALSE)))</f>
        <v/>
      </c>
      <c r="Z5">
        <f>VLOOKUP($C5,DataDijkvakken[#All],3,FALSE)</f>
        <v>18</v>
      </c>
      <c r="AA5" s="8"/>
    </row>
    <row r="6" spans="1:27" x14ac:dyDescent="0.3">
      <c r="A6">
        <f>IFERROR(IF(Ondergrondscenarios[[#This Row],[Scenarionaam '[-']]]="","",A5+1),1)</f>
        <v>5</v>
      </c>
      <c r="B6">
        <f>A7/6</f>
        <v>1</v>
      </c>
      <c r="C6" t="str">
        <f>VLOOKUP(Ondergrondscenarios[[#This Row],[VakID '[-']]],DataDijkvakken!A:I,2,FALSE)</f>
        <v>01a</v>
      </c>
      <c r="D6" s="8" t="str">
        <f>GenererenScenarios!$B$7</f>
        <v>P_S5</v>
      </c>
      <c r="E6" s="8" t="str">
        <f>GenererenScenarios!$C$7</f>
        <v>-</v>
      </c>
      <c r="F6" s="26">
        <v>0</v>
      </c>
      <c r="G6" s="29">
        <f>VLOOKUP($C6,DataDijkvakken!$B:$G,2,FALSE)</f>
        <v>3.1101967096774192</v>
      </c>
      <c r="H6" s="7"/>
      <c r="I6" s="7"/>
      <c r="J6" s="29"/>
      <c r="K6" s="29">
        <f t="shared" si="0"/>
        <v>3.1101967096774192</v>
      </c>
      <c r="L6" s="7"/>
      <c r="M6" s="29">
        <f>IF(Ondergrondscenarios[[#This Row],[Scenariotype '[-']]]="Tussenzandlaag",0,VLOOKUP($C6,DataDijkvakken[#All],4,FALSE))</f>
        <v>65</v>
      </c>
      <c r="N6" s="29">
        <f t="shared" si="1"/>
        <v>65</v>
      </c>
      <c r="O6" s="29">
        <f>VLOOKUP($C6,DataDijkvakken!$B:$G,5,FALSE)</f>
        <v>15</v>
      </c>
      <c r="P6" s="29">
        <f>VLOOKUP($C6,DataDijkvakken!$B:$G,6,FALSE)</f>
        <v>40.192307692307693</v>
      </c>
      <c r="Q6" s="29">
        <f t="shared" si="2"/>
        <v>40.192307692307693</v>
      </c>
      <c r="R6" s="7">
        <v>2612.5</v>
      </c>
      <c r="S6" s="27"/>
      <c r="T6" s="32">
        <f t="shared" si="3"/>
        <v>0</v>
      </c>
      <c r="U6" s="27"/>
      <c r="V6">
        <f t="shared" si="4"/>
        <v>176.01967096774192</v>
      </c>
      <c r="W6" s="31">
        <f t="shared" si="5"/>
        <v>678.12343301439284</v>
      </c>
      <c r="X6" s="33"/>
      <c r="Y6" t="str">
        <f>IF(Ondergrondscenarios[[#This Row],[Scenariotype '[-']]]="-","",IF(Ondergrondscenarios[[#This Row],[Scenariotype '[-']]]="Pleistoceen",VLOOKUP(Ondergrondscenarios[[#This Row],[Vaknaam '[-']]],DataDijkvakken[#All],8,FALSE),VLOOKUP(Ondergrondscenarios[[#This Row],[Vaknaam '[-']]],DataDijkvakken[#All],7,FALSE)))</f>
        <v/>
      </c>
      <c r="Z6">
        <f>VLOOKUP($C6,DataDijkvakken[#All],3,FALSE)</f>
        <v>18</v>
      </c>
      <c r="AA6" s="8"/>
    </row>
    <row r="7" spans="1:27" x14ac:dyDescent="0.3">
      <c r="A7">
        <f>IFERROR(IF(Ondergrondscenarios[[#This Row],[Scenarionaam '[-']]]="","",A6+1),1)</f>
        <v>6</v>
      </c>
      <c r="B7">
        <f>A7/6</f>
        <v>1</v>
      </c>
      <c r="C7" t="str">
        <f>VLOOKUP(Ondergrondscenarios[[#This Row],[VakID '[-']]],DataDijkvakken!A:I,2,FALSE)</f>
        <v>01a</v>
      </c>
      <c r="D7" s="8" t="str">
        <f>GenererenScenarios!$B$8</f>
        <v>P_S6</v>
      </c>
      <c r="E7" s="8" t="str">
        <f>GenererenScenarios!$C$8</f>
        <v>-</v>
      </c>
      <c r="F7" s="26">
        <v>0</v>
      </c>
      <c r="G7" s="29">
        <f>VLOOKUP($C7,DataDijkvakken!$B:$G,2,FALSE)</f>
        <v>3.1101967096774192</v>
      </c>
      <c r="H7" s="7"/>
      <c r="I7" s="7"/>
      <c r="J7" s="29"/>
      <c r="K7" s="29">
        <f t="shared" si="0"/>
        <v>3.1101967096774192</v>
      </c>
      <c r="L7" s="7"/>
      <c r="M7" s="29">
        <f>IF(Ondergrondscenarios[[#This Row],[Scenariotype '[-']]]="Tussenzandlaag",0,VLOOKUP($C7,DataDijkvakken[#All],4,FALSE))</f>
        <v>65</v>
      </c>
      <c r="N7" s="29">
        <f t="shared" si="1"/>
        <v>65</v>
      </c>
      <c r="O7" s="29">
        <f>VLOOKUP($C7,DataDijkvakken!$B:$G,5,FALSE)</f>
        <v>15</v>
      </c>
      <c r="P7" s="29">
        <f>VLOOKUP($C7,DataDijkvakken!$B:$G,6,FALSE)</f>
        <v>40.192307692307693</v>
      </c>
      <c r="Q7" s="29">
        <f t="shared" si="2"/>
        <v>40.192307692307693</v>
      </c>
      <c r="R7" s="7">
        <v>2612.5</v>
      </c>
      <c r="S7" s="27"/>
      <c r="T7" s="32">
        <f t="shared" si="3"/>
        <v>0</v>
      </c>
      <c r="U7" s="27"/>
      <c r="V7">
        <f t="shared" si="4"/>
        <v>176.01967096774192</v>
      </c>
      <c r="W7" s="31">
        <f t="shared" si="5"/>
        <v>678.12343301439284</v>
      </c>
      <c r="X7" s="33"/>
      <c r="Y7" t="str">
        <f>IF(Ondergrondscenarios[[#This Row],[Scenariotype '[-']]]="-","",IF(Ondergrondscenarios[[#This Row],[Scenariotype '[-']]]="Pleistoceen",VLOOKUP(Ondergrondscenarios[[#This Row],[Vaknaam '[-']]],DataDijkvakken[#All],8,FALSE),VLOOKUP(Ondergrondscenarios[[#This Row],[Vaknaam '[-']]],DataDijkvakken[#All],7,FALSE)))</f>
        <v/>
      </c>
      <c r="Z7">
        <f>VLOOKUP($C7,DataDijkvakken[#All],3,FALSE)</f>
        <v>18</v>
      </c>
      <c r="AA7" s="8"/>
    </row>
    <row r="8" spans="1:27" x14ac:dyDescent="0.3">
      <c r="A8">
        <f>IFERROR(IF(Ondergrondscenarios[[#This Row],[Scenarionaam '[-']]]="","",A7+1),1)</f>
        <v>7</v>
      </c>
      <c r="B8">
        <f>A13/6</f>
        <v>2</v>
      </c>
      <c r="C8" t="str">
        <f>VLOOKUP(Ondergrondscenarios[[#This Row],[VakID '[-']]],DataDijkvakken!A:I,2,FALSE)</f>
        <v>01b</v>
      </c>
      <c r="D8" s="8" t="str">
        <f>GenererenScenarios!$B$3</f>
        <v>P_S1_PL</v>
      </c>
      <c r="E8" s="8" t="str">
        <f>GenererenScenarios!$C$3</f>
        <v>Pleistoceen</v>
      </c>
      <c r="F8" s="26">
        <v>0.1</v>
      </c>
      <c r="G8" s="29">
        <f>VLOOKUP($C8,DataDijkvakken!$B:$G,2,FALSE)</f>
        <v>3.5595398666666664</v>
      </c>
      <c r="H8" s="7"/>
      <c r="I8" s="7"/>
      <c r="J8" s="29">
        <v>-4.0999999999999996</v>
      </c>
      <c r="K8" s="29">
        <f t="shared" ref="K8:K71" si="6">IFERROR(MAX(G8-J8,0),"")</f>
        <v>7.6595398666666661</v>
      </c>
      <c r="L8" s="7">
        <v>0</v>
      </c>
      <c r="M8" s="29">
        <f>IF(Ondergrondscenarios[[#This Row],[Scenariotype '[-']]]="Tussenzandlaag",0,VLOOKUP($C8,DataDijkvakken[#All],4,FALSE))</f>
        <v>65</v>
      </c>
      <c r="N8" s="29">
        <f t="shared" ref="N8:N71" si="7">MAX(M8+L8,0.1)</f>
        <v>65</v>
      </c>
      <c r="O8" s="29">
        <f>VLOOKUP($C8,DataDijkvakken!$B:$G,5,FALSE)</f>
        <v>15</v>
      </c>
      <c r="P8" s="29">
        <f>VLOOKUP($C8,DataDijkvakken!$B:$G,6,FALSE)</f>
        <v>40.192307692307693</v>
      </c>
      <c r="Q8" s="29">
        <f t="shared" ref="Q8:Q71" si="8">MAX(((L8*O8)+(M8*P8))/N8,0.1)</f>
        <v>40.192307692307693</v>
      </c>
      <c r="R8" s="7">
        <v>2612.5</v>
      </c>
      <c r="S8" s="27"/>
      <c r="T8" s="32">
        <f t="shared" ref="T8:T71" si="9">SQRT(R8*S8)</f>
        <v>0</v>
      </c>
      <c r="U8" s="27"/>
      <c r="V8">
        <f t="shared" ref="V8:V71" si="10">IFERROR(IF(K8&lt;grensDikte,K8/doorlatendheidDunneDeklaag,(grensDikte/doorlatendheidDunneDeklaag)+((K8-grensDikte)/doorlatendheidDikkeDeklaag)),"")</f>
        <v>630.95398666666665</v>
      </c>
      <c r="W8" s="31">
        <f t="shared" ref="W8:W71" si="11">IFERROR(IF(U8="",SQRT(R8*V8),SQRT(R8*U8)),"")</f>
        <v>1283.8875691300491</v>
      </c>
      <c r="X8" s="33"/>
      <c r="Y8">
        <f>IF(Ondergrondscenarios[[#This Row],[Scenariotype '[-']]]="-","",IF(Ondergrondscenarios[[#This Row],[Scenariotype '[-']]]="Pleistoceen",VLOOKUP(Ondergrondscenarios[[#This Row],[Vaknaam '[-']]],DataDijkvakken[#All],8,FALSE),VLOOKUP(Ondergrondscenarios[[#This Row],[Vaknaam '[-']]],DataDijkvakken[#All],7,FALSE)))</f>
        <v>3.5000000000000005E-4</v>
      </c>
      <c r="Z8">
        <f>VLOOKUP($C8,DataDijkvakken[#All],3,FALSE)</f>
        <v>18</v>
      </c>
      <c r="AA8" s="8"/>
    </row>
    <row r="9" spans="1:27" x14ac:dyDescent="0.3">
      <c r="A9">
        <f>IFERROR(IF(Ondergrondscenarios[[#This Row],[Scenarionaam '[-']]]="","",A8+1),1)</f>
        <v>8</v>
      </c>
      <c r="B9">
        <f>A13/6</f>
        <v>2</v>
      </c>
      <c r="C9" t="str">
        <f>VLOOKUP(Ondergrondscenarios[[#This Row],[VakID '[-']]],DataDijkvakken!A:I,2,FALSE)</f>
        <v>01b</v>
      </c>
      <c r="D9" s="8" t="str">
        <f>GenererenScenarios!$B$4</f>
        <v>P_S2_HL_F</v>
      </c>
      <c r="E9" s="8" t="str">
        <f>GenererenScenarios!$C$4</f>
        <v>Holoceen</v>
      </c>
      <c r="F9" s="26">
        <v>0.8</v>
      </c>
      <c r="G9" s="29">
        <f>VLOOKUP($C9,DataDijkvakken!$B:$G,2,FALSE)</f>
        <v>3.5595398666666664</v>
      </c>
      <c r="H9" s="7"/>
      <c r="I9" s="7"/>
      <c r="J9" s="29">
        <v>-1.7</v>
      </c>
      <c r="K9" s="29">
        <f t="shared" si="6"/>
        <v>5.2595398666666666</v>
      </c>
      <c r="L9" s="7">
        <v>2.5</v>
      </c>
      <c r="M9" s="29">
        <f>IF(Ondergrondscenarios[[#This Row],[Scenariotype '[-']]]="Tussenzandlaag",0,VLOOKUP($C9,DataDijkvakken[#All],4,FALSE))</f>
        <v>65</v>
      </c>
      <c r="N9" s="29">
        <f t="shared" si="7"/>
        <v>67.5</v>
      </c>
      <c r="O9" s="29">
        <f>VLOOKUP($C9,DataDijkvakken!$B:$G,5,FALSE)</f>
        <v>15</v>
      </c>
      <c r="P9" s="29">
        <f>VLOOKUP($C9,DataDijkvakken!$B:$G,6,FALSE)</f>
        <v>40.192307692307693</v>
      </c>
      <c r="Q9" s="29">
        <f t="shared" si="8"/>
        <v>39.25925925925926</v>
      </c>
      <c r="R9" s="7">
        <v>2650</v>
      </c>
      <c r="S9" s="27"/>
      <c r="T9" s="32">
        <f t="shared" si="9"/>
        <v>0</v>
      </c>
      <c r="U9" s="27"/>
      <c r="V9">
        <f t="shared" si="10"/>
        <v>390.95398666666665</v>
      </c>
      <c r="W9" s="31">
        <f t="shared" si="11"/>
        <v>1017.8546382792912</v>
      </c>
      <c r="X9" s="33"/>
      <c r="Y9">
        <f>IF(Ondergrondscenarios[[#This Row],[Scenariotype '[-']]]="-","",IF(Ondergrondscenarios[[#This Row],[Scenariotype '[-']]]="Pleistoceen",VLOOKUP(Ondergrondscenarios[[#This Row],[Vaknaam '[-']]],DataDijkvakken[#All],8,FALSE),VLOOKUP(Ondergrondscenarios[[#This Row],[Vaknaam '[-']]],DataDijkvakken[#All],7,FALSE)))</f>
        <v>2.9999999999999997E-4</v>
      </c>
      <c r="Z9">
        <f>VLOOKUP($C9,DataDijkvakken[#All],3,FALSE)</f>
        <v>18</v>
      </c>
      <c r="AA9" s="8"/>
    </row>
    <row r="10" spans="1:27" x14ac:dyDescent="0.3">
      <c r="A10">
        <f>IFERROR(IF(Ondergrondscenarios[[#This Row],[Scenarionaam '[-']]]="","",A9+1),1)</f>
        <v>9</v>
      </c>
      <c r="B10">
        <f>A13/6</f>
        <v>2</v>
      </c>
      <c r="C10" t="str">
        <f>VLOOKUP(Ondergrondscenarios[[#This Row],[VakID '[-']]],DataDijkvakken!A:I,2,FALSE)</f>
        <v>01b</v>
      </c>
      <c r="D10" s="8" t="str">
        <f>GenererenScenarios!$B$5</f>
        <v>P_S3_HL_TZ</v>
      </c>
      <c r="E10" s="8" t="str">
        <f>GenererenScenarios!$C$5</f>
        <v>Tussenzandlaag</v>
      </c>
      <c r="F10" s="26">
        <v>0.1</v>
      </c>
      <c r="G10" s="29">
        <f>VLOOKUP($C10,DataDijkvakken!$B:$G,2,FALSE)</f>
        <v>3.5595398666666664</v>
      </c>
      <c r="H10" s="7"/>
      <c r="I10" s="7"/>
      <c r="J10" s="29">
        <v>-1.7</v>
      </c>
      <c r="K10" s="29">
        <f t="shared" si="6"/>
        <v>5.2595398666666666</v>
      </c>
      <c r="L10" s="7">
        <v>2.2999999999999998</v>
      </c>
      <c r="M10" s="29">
        <f>IF(Ondergrondscenarios[[#This Row],[Scenariotype '[-']]]="Tussenzandlaag",0,VLOOKUP($C10,DataDijkvakken[#All],4,FALSE))</f>
        <v>0</v>
      </c>
      <c r="N10" s="29">
        <f t="shared" si="7"/>
        <v>2.2999999999999998</v>
      </c>
      <c r="O10" s="29">
        <f>VLOOKUP($C10,DataDijkvakken!$B:$G,5,FALSE)</f>
        <v>15</v>
      </c>
      <c r="P10" s="29">
        <f>VLOOKUP($C10,DataDijkvakken!$B:$G,6,FALSE)</f>
        <v>40.192307692307693</v>
      </c>
      <c r="Q10" s="29">
        <f t="shared" si="8"/>
        <v>15.000000000000002</v>
      </c>
      <c r="R10" s="7">
        <v>34.5</v>
      </c>
      <c r="S10" s="27"/>
      <c r="T10" s="32">
        <f t="shared" si="9"/>
        <v>0</v>
      </c>
      <c r="U10" s="27"/>
      <c r="V10">
        <f t="shared" si="10"/>
        <v>390.95398666666665</v>
      </c>
      <c r="W10" s="31">
        <f t="shared" si="11"/>
        <v>116.13747259175223</v>
      </c>
      <c r="X10" s="33"/>
      <c r="Y10">
        <f>IF(Ondergrondscenarios[[#This Row],[Scenariotype '[-']]]="-","",IF(Ondergrondscenarios[[#This Row],[Scenariotype '[-']]]="Pleistoceen",VLOOKUP(Ondergrondscenarios[[#This Row],[Vaknaam '[-']]],DataDijkvakken[#All],8,FALSE),VLOOKUP(Ondergrondscenarios[[#This Row],[Vaknaam '[-']]],DataDijkvakken[#All],7,FALSE)))</f>
        <v>2.9999999999999997E-4</v>
      </c>
      <c r="Z10">
        <f>VLOOKUP($C10,DataDijkvakken[#All],3,FALSE)</f>
        <v>18</v>
      </c>
      <c r="AA10" s="8"/>
    </row>
    <row r="11" spans="1:27" x14ac:dyDescent="0.3">
      <c r="A11">
        <f>IFERROR(IF(Ondergrondscenarios[[#This Row],[Scenarionaam '[-']]]="","",A10+1),1)</f>
        <v>10</v>
      </c>
      <c r="B11">
        <f>A13/6</f>
        <v>2</v>
      </c>
      <c r="C11" t="str">
        <f>VLOOKUP(Ondergrondscenarios[[#This Row],[VakID '[-']]],DataDijkvakken!A:I,2,FALSE)</f>
        <v>01b</v>
      </c>
      <c r="D11" s="8" t="str">
        <f>GenererenScenarios!$B$6</f>
        <v>P_S4</v>
      </c>
      <c r="E11" s="8" t="str">
        <f>GenererenScenarios!$C$6</f>
        <v>-</v>
      </c>
      <c r="F11" s="26">
        <v>0</v>
      </c>
      <c r="G11" s="29">
        <f>VLOOKUP($C11,DataDijkvakken!$B:$G,2,FALSE)</f>
        <v>3.5595398666666664</v>
      </c>
      <c r="H11" s="7"/>
      <c r="I11" s="7"/>
      <c r="J11" s="29"/>
      <c r="K11" s="29">
        <f t="shared" si="6"/>
        <v>3.5595398666666664</v>
      </c>
      <c r="L11" s="7"/>
      <c r="M11" s="29">
        <f>IF(Ondergrondscenarios[[#This Row],[Scenariotype '[-']]]="Tussenzandlaag",0,VLOOKUP($C11,DataDijkvakken[#All],4,FALSE))</f>
        <v>65</v>
      </c>
      <c r="N11" s="29">
        <f t="shared" si="7"/>
        <v>65</v>
      </c>
      <c r="O11" s="29">
        <f>VLOOKUP($C11,DataDijkvakken!$B:$G,5,FALSE)</f>
        <v>15</v>
      </c>
      <c r="P11" s="29">
        <f>VLOOKUP($C11,DataDijkvakken!$B:$G,6,FALSE)</f>
        <v>40.192307692307693</v>
      </c>
      <c r="Q11" s="29">
        <f t="shared" si="8"/>
        <v>40.192307692307693</v>
      </c>
      <c r="R11" s="7">
        <v>2612.5</v>
      </c>
      <c r="S11" s="27"/>
      <c r="T11" s="32">
        <f t="shared" si="9"/>
        <v>0</v>
      </c>
      <c r="U11" s="27"/>
      <c r="V11">
        <f t="shared" si="10"/>
        <v>220.95398666666665</v>
      </c>
      <c r="W11" s="31">
        <f t="shared" si="11"/>
        <v>759.7646281360212</v>
      </c>
      <c r="X11" s="33"/>
      <c r="Y11" t="str">
        <f>IF(Ondergrondscenarios[[#This Row],[Scenariotype '[-']]]="-","",IF(Ondergrondscenarios[[#This Row],[Scenariotype '[-']]]="Pleistoceen",VLOOKUP(Ondergrondscenarios[[#This Row],[Vaknaam '[-']]],DataDijkvakken[#All],8,FALSE),VLOOKUP(Ondergrondscenarios[[#This Row],[Vaknaam '[-']]],DataDijkvakken[#All],7,FALSE)))</f>
        <v/>
      </c>
      <c r="Z11">
        <f>VLOOKUP($C11,DataDijkvakken[#All],3,FALSE)</f>
        <v>18</v>
      </c>
      <c r="AA11" s="8"/>
    </row>
    <row r="12" spans="1:27" x14ac:dyDescent="0.3">
      <c r="A12">
        <f>IFERROR(IF(Ondergrondscenarios[[#This Row],[Scenarionaam '[-']]]="","",A11+1),1)</f>
        <v>11</v>
      </c>
      <c r="B12">
        <f>A13/6</f>
        <v>2</v>
      </c>
      <c r="C12" t="str">
        <f>VLOOKUP(Ondergrondscenarios[[#This Row],[VakID '[-']]],DataDijkvakken!A:I,2,FALSE)</f>
        <v>01b</v>
      </c>
      <c r="D12" s="8" t="str">
        <f>GenererenScenarios!$B$7</f>
        <v>P_S5</v>
      </c>
      <c r="E12" s="8" t="str">
        <f>GenererenScenarios!$C$7</f>
        <v>-</v>
      </c>
      <c r="F12" s="26">
        <v>0</v>
      </c>
      <c r="G12" s="29">
        <f>VLOOKUP($C12,DataDijkvakken!$B:$G,2,FALSE)</f>
        <v>3.5595398666666664</v>
      </c>
      <c r="H12" s="7"/>
      <c r="I12" s="7"/>
      <c r="J12" s="29"/>
      <c r="K12" s="29">
        <f t="shared" si="6"/>
        <v>3.5595398666666664</v>
      </c>
      <c r="L12" s="7"/>
      <c r="M12" s="29">
        <f>IF(Ondergrondscenarios[[#This Row],[Scenariotype '[-']]]="Tussenzandlaag",0,VLOOKUP($C12,DataDijkvakken[#All],4,FALSE))</f>
        <v>65</v>
      </c>
      <c r="N12" s="29">
        <f t="shared" si="7"/>
        <v>65</v>
      </c>
      <c r="O12" s="29">
        <f>VLOOKUP($C12,DataDijkvakken!$B:$G,5,FALSE)</f>
        <v>15</v>
      </c>
      <c r="P12" s="29">
        <f>VLOOKUP($C12,DataDijkvakken!$B:$G,6,FALSE)</f>
        <v>40.192307692307693</v>
      </c>
      <c r="Q12" s="29">
        <f t="shared" si="8"/>
        <v>40.192307692307693</v>
      </c>
      <c r="R12" s="7">
        <v>2612.5</v>
      </c>
      <c r="S12" s="27"/>
      <c r="T12" s="32">
        <f t="shared" si="9"/>
        <v>0</v>
      </c>
      <c r="U12" s="27"/>
      <c r="V12">
        <f t="shared" si="10"/>
        <v>220.95398666666665</v>
      </c>
      <c r="W12" s="31">
        <f t="shared" si="11"/>
        <v>759.7646281360212</v>
      </c>
      <c r="X12" s="33"/>
      <c r="Y12" t="str">
        <f>IF(Ondergrondscenarios[[#This Row],[Scenariotype '[-']]]="-","",IF(Ondergrondscenarios[[#This Row],[Scenariotype '[-']]]="Pleistoceen",VLOOKUP(Ondergrondscenarios[[#This Row],[Vaknaam '[-']]],DataDijkvakken[#All],8,FALSE),VLOOKUP(Ondergrondscenarios[[#This Row],[Vaknaam '[-']]],DataDijkvakken[#All],7,FALSE)))</f>
        <v/>
      </c>
      <c r="Z12">
        <f>VLOOKUP($C12,DataDijkvakken[#All],3,FALSE)</f>
        <v>18</v>
      </c>
      <c r="AA12" s="8"/>
    </row>
    <row r="13" spans="1:27" x14ac:dyDescent="0.3">
      <c r="A13">
        <f>IFERROR(IF(Ondergrondscenarios[[#This Row],[Scenarionaam '[-']]]="","",A12+1),1)</f>
        <v>12</v>
      </c>
      <c r="B13">
        <f>A13/6</f>
        <v>2</v>
      </c>
      <c r="C13" t="str">
        <f>VLOOKUP(Ondergrondscenarios[[#This Row],[VakID '[-']]],DataDijkvakken!A:I,2,FALSE)</f>
        <v>01b</v>
      </c>
      <c r="D13" s="8" t="str">
        <f>GenererenScenarios!$B$8</f>
        <v>P_S6</v>
      </c>
      <c r="E13" s="8" t="str">
        <f>GenererenScenarios!$C$8</f>
        <v>-</v>
      </c>
      <c r="F13" s="26">
        <v>0</v>
      </c>
      <c r="G13" s="29">
        <f>VLOOKUP($C13,DataDijkvakken!$B:$G,2,FALSE)</f>
        <v>3.5595398666666664</v>
      </c>
      <c r="H13" s="7"/>
      <c r="I13" s="7"/>
      <c r="J13" s="29"/>
      <c r="K13" s="29">
        <f t="shared" si="6"/>
        <v>3.5595398666666664</v>
      </c>
      <c r="L13" s="7"/>
      <c r="M13" s="29">
        <f>IF(Ondergrondscenarios[[#This Row],[Scenariotype '[-']]]="Tussenzandlaag",0,VLOOKUP($C13,DataDijkvakken[#All],4,FALSE))</f>
        <v>65</v>
      </c>
      <c r="N13" s="29">
        <f t="shared" si="7"/>
        <v>65</v>
      </c>
      <c r="O13" s="29">
        <f>VLOOKUP($C13,DataDijkvakken!$B:$G,5,FALSE)</f>
        <v>15</v>
      </c>
      <c r="P13" s="29">
        <f>VLOOKUP($C13,DataDijkvakken!$B:$G,6,FALSE)</f>
        <v>40.192307692307693</v>
      </c>
      <c r="Q13" s="29">
        <f t="shared" si="8"/>
        <v>40.192307692307693</v>
      </c>
      <c r="R13" s="7">
        <v>2612.5</v>
      </c>
      <c r="S13" s="27"/>
      <c r="T13" s="32">
        <f t="shared" si="9"/>
        <v>0</v>
      </c>
      <c r="U13" s="27"/>
      <c r="V13">
        <f t="shared" si="10"/>
        <v>220.95398666666665</v>
      </c>
      <c r="W13" s="31">
        <f t="shared" si="11"/>
        <v>759.7646281360212</v>
      </c>
      <c r="X13" s="33"/>
      <c r="Y13" t="str">
        <f>IF(Ondergrondscenarios[[#This Row],[Scenariotype '[-']]]="-","",IF(Ondergrondscenarios[[#This Row],[Scenariotype '[-']]]="Pleistoceen",VLOOKUP(Ondergrondscenarios[[#This Row],[Vaknaam '[-']]],DataDijkvakken[#All],8,FALSE),VLOOKUP(Ondergrondscenarios[[#This Row],[Vaknaam '[-']]],DataDijkvakken[#All],7,FALSE)))</f>
        <v/>
      </c>
      <c r="Z13">
        <f>VLOOKUP($C13,DataDijkvakken[#All],3,FALSE)</f>
        <v>18</v>
      </c>
      <c r="AA13" s="8"/>
    </row>
    <row r="14" spans="1:27" x14ac:dyDescent="0.3">
      <c r="A14">
        <f>IFERROR(IF(Ondergrondscenarios[[#This Row],[Scenarionaam '[-']]]="","",A13+1),1)</f>
        <v>13</v>
      </c>
      <c r="B14">
        <f>A19/6</f>
        <v>3</v>
      </c>
      <c r="C14" t="str">
        <f>VLOOKUP(Ondergrondscenarios[[#This Row],[VakID '[-']]],DataDijkvakken!A:I,2,FALSE)</f>
        <v>02a</v>
      </c>
      <c r="D14" s="8" t="str">
        <f>GenererenScenarios!$B$3</f>
        <v>P_S1_PL</v>
      </c>
      <c r="E14" s="8" t="str">
        <f>GenererenScenarios!$C$3</f>
        <v>Pleistoceen</v>
      </c>
      <c r="F14" s="26">
        <v>0</v>
      </c>
      <c r="G14" s="29">
        <f>VLOOKUP($C14,DataDijkvakken!$B:$G,2,FALSE)</f>
        <v>3.0566952499999998</v>
      </c>
      <c r="H14" s="7"/>
      <c r="I14" s="7"/>
      <c r="J14" s="29"/>
      <c r="K14" s="29">
        <f t="shared" si="6"/>
        <v>3.0566952499999998</v>
      </c>
      <c r="L14" s="7"/>
      <c r="M14" s="29">
        <f>IF(Ondergrondscenarios[[#This Row],[Scenariotype '[-']]]="Tussenzandlaag",0,VLOOKUP($C14,DataDijkvakken[#All],4,FALSE))</f>
        <v>65</v>
      </c>
      <c r="N14" s="29">
        <f t="shared" si="7"/>
        <v>65</v>
      </c>
      <c r="O14" s="29">
        <f>VLOOKUP($C14,DataDijkvakken!$B:$G,5,FALSE)</f>
        <v>15</v>
      </c>
      <c r="P14" s="29">
        <f>VLOOKUP($C14,DataDijkvakken!$B:$G,6,FALSE)</f>
        <v>40.192307692307693</v>
      </c>
      <c r="Q14" s="29">
        <f t="shared" si="8"/>
        <v>40.192307692307693</v>
      </c>
      <c r="R14" s="7">
        <v>2612.5</v>
      </c>
      <c r="S14" s="27"/>
      <c r="T14" s="32">
        <f t="shared" si="9"/>
        <v>0</v>
      </c>
      <c r="U14" s="27"/>
      <c r="V14">
        <f t="shared" si="10"/>
        <v>170.66952499999996</v>
      </c>
      <c r="W14" s="31">
        <f t="shared" si="11"/>
        <v>667.73807294664573</v>
      </c>
      <c r="X14" s="33"/>
      <c r="Y14">
        <f>IF(Ondergrondscenarios[[#This Row],[Scenariotype '[-']]]="-","",IF(Ondergrondscenarios[[#This Row],[Scenariotype '[-']]]="Pleistoceen",VLOOKUP(Ondergrondscenarios[[#This Row],[Vaknaam '[-']]],DataDijkvakken[#All],8,FALSE),VLOOKUP(Ondergrondscenarios[[#This Row],[Vaknaam '[-']]],DataDijkvakken[#All],7,FALSE)))</f>
        <v>3.5000000000000005E-4</v>
      </c>
      <c r="Z14">
        <f>VLOOKUP($C14,DataDijkvakken[#All],3,FALSE)</f>
        <v>18</v>
      </c>
      <c r="AA14" s="8"/>
    </row>
    <row r="15" spans="1:27" x14ac:dyDescent="0.3">
      <c r="A15">
        <f>IFERROR(IF(Ondergrondscenarios[[#This Row],[Scenarionaam '[-']]]="","",A14+1),1)</f>
        <v>14</v>
      </c>
      <c r="B15">
        <f>A19/6</f>
        <v>3</v>
      </c>
      <c r="C15" t="str">
        <f>VLOOKUP(Ondergrondscenarios[[#This Row],[VakID '[-']]],DataDijkvakken!A:I,2,FALSE)</f>
        <v>02a</v>
      </c>
      <c r="D15" s="8" t="str">
        <f>GenererenScenarios!$B$4</f>
        <v>P_S2_HL_F</v>
      </c>
      <c r="E15" s="8" t="str">
        <f>GenererenScenarios!$C$4</f>
        <v>Holoceen</v>
      </c>
      <c r="F15" s="26">
        <v>1</v>
      </c>
      <c r="G15" s="29">
        <f>VLOOKUP($C15,DataDijkvakken!$B:$G,2,FALSE)</f>
        <v>3.0566952499999998</v>
      </c>
      <c r="H15" s="7"/>
      <c r="I15" s="7"/>
      <c r="J15" s="29">
        <v>0.5</v>
      </c>
      <c r="K15" s="29">
        <f t="shared" si="6"/>
        <v>2.5566952499999998</v>
      </c>
      <c r="L15" s="7">
        <v>2.5</v>
      </c>
      <c r="M15" s="29">
        <f>IF(Ondergrondscenarios[[#This Row],[Scenariotype '[-']]]="Tussenzandlaag",0,VLOOKUP($C15,DataDijkvakken[#All],4,FALSE))</f>
        <v>65</v>
      </c>
      <c r="N15" s="29">
        <f t="shared" si="7"/>
        <v>67.5</v>
      </c>
      <c r="O15" s="29">
        <f>VLOOKUP($C15,DataDijkvakken!$B:$G,5,FALSE)</f>
        <v>15</v>
      </c>
      <c r="P15" s="29">
        <f>VLOOKUP($C15,DataDijkvakken!$B:$G,6,FALSE)</f>
        <v>40.192307692307693</v>
      </c>
      <c r="Q15" s="29">
        <f t="shared" si="8"/>
        <v>39.25925925925926</v>
      </c>
      <c r="R15" s="7">
        <v>2650</v>
      </c>
      <c r="S15" s="27"/>
      <c r="T15" s="32">
        <f t="shared" si="9"/>
        <v>0</v>
      </c>
      <c r="U15" s="27"/>
      <c r="V15">
        <f t="shared" si="10"/>
        <v>120.66952499999998</v>
      </c>
      <c r="W15" s="31">
        <f t="shared" si="11"/>
        <v>565.48584531356744</v>
      </c>
      <c r="X15" s="33"/>
      <c r="Y15">
        <f>IF(Ondergrondscenarios[[#This Row],[Scenariotype '[-']]]="-","",IF(Ondergrondscenarios[[#This Row],[Scenariotype '[-']]]="Pleistoceen",VLOOKUP(Ondergrondscenarios[[#This Row],[Vaknaam '[-']]],DataDijkvakken[#All],8,FALSE),VLOOKUP(Ondergrondscenarios[[#This Row],[Vaknaam '[-']]],DataDijkvakken[#All],7,FALSE)))</f>
        <v>2.8000000000000003E-4</v>
      </c>
      <c r="Z15">
        <f>VLOOKUP($C15,DataDijkvakken[#All],3,FALSE)</f>
        <v>18</v>
      </c>
      <c r="AA15" s="8"/>
    </row>
    <row r="16" spans="1:27" x14ac:dyDescent="0.3">
      <c r="A16">
        <f>IFERROR(IF(Ondergrondscenarios[[#This Row],[Scenarionaam '[-']]]="","",A15+1),1)</f>
        <v>15</v>
      </c>
      <c r="B16">
        <f>A19/6</f>
        <v>3</v>
      </c>
      <c r="C16" t="str">
        <f>VLOOKUP(Ondergrondscenarios[[#This Row],[VakID '[-']]],DataDijkvakken!A:I,2,FALSE)</f>
        <v>02a</v>
      </c>
      <c r="D16" s="8" t="str">
        <f>GenererenScenarios!$B$5</f>
        <v>P_S3_HL_TZ</v>
      </c>
      <c r="E16" s="8" t="str">
        <f>GenererenScenarios!$C$5</f>
        <v>Tussenzandlaag</v>
      </c>
      <c r="F16" s="26">
        <v>0</v>
      </c>
      <c r="G16" s="29">
        <f>VLOOKUP($C16,DataDijkvakken!$B:$G,2,FALSE)</f>
        <v>3.0566952499999998</v>
      </c>
      <c r="H16" s="7"/>
      <c r="I16" s="7"/>
      <c r="J16" s="29"/>
      <c r="K16" s="29">
        <f t="shared" si="6"/>
        <v>3.0566952499999998</v>
      </c>
      <c r="L16" s="7"/>
      <c r="M16" s="29">
        <f>IF(Ondergrondscenarios[[#This Row],[Scenariotype '[-']]]="Tussenzandlaag",0,VLOOKUP($C16,DataDijkvakken[#All],4,FALSE))</f>
        <v>0</v>
      </c>
      <c r="N16" s="29">
        <f t="shared" si="7"/>
        <v>0.1</v>
      </c>
      <c r="O16" s="29">
        <f>VLOOKUP($C16,DataDijkvakken!$B:$G,5,FALSE)</f>
        <v>15</v>
      </c>
      <c r="P16" s="29">
        <f>VLOOKUP($C16,DataDijkvakken!$B:$G,6,FALSE)</f>
        <v>40.192307692307693</v>
      </c>
      <c r="Q16" s="29">
        <f t="shared" si="8"/>
        <v>0.1</v>
      </c>
      <c r="R16" s="7">
        <v>1.0000000000000002E-2</v>
      </c>
      <c r="S16" s="27"/>
      <c r="T16" s="32">
        <f t="shared" si="9"/>
        <v>0</v>
      </c>
      <c r="U16" s="27"/>
      <c r="V16">
        <f t="shared" si="10"/>
        <v>170.66952499999996</v>
      </c>
      <c r="W16" s="31">
        <f t="shared" si="11"/>
        <v>1.3064054692169655</v>
      </c>
      <c r="X16" s="33"/>
      <c r="Y16">
        <f>IF(Ondergrondscenarios[[#This Row],[Scenariotype '[-']]]="-","",IF(Ondergrondscenarios[[#This Row],[Scenariotype '[-']]]="Pleistoceen",VLOOKUP(Ondergrondscenarios[[#This Row],[Vaknaam '[-']]],DataDijkvakken[#All],8,FALSE),VLOOKUP(Ondergrondscenarios[[#This Row],[Vaknaam '[-']]],DataDijkvakken[#All],7,FALSE)))</f>
        <v>2.8000000000000003E-4</v>
      </c>
      <c r="Z16">
        <f>VLOOKUP($C16,DataDijkvakken[#All],3,FALSE)</f>
        <v>18</v>
      </c>
      <c r="AA16" s="8"/>
    </row>
    <row r="17" spans="1:27" x14ac:dyDescent="0.3">
      <c r="A17">
        <f>IFERROR(IF(Ondergrondscenarios[[#This Row],[Scenarionaam '[-']]]="","",A16+1),1)</f>
        <v>16</v>
      </c>
      <c r="B17">
        <f>A19/6</f>
        <v>3</v>
      </c>
      <c r="C17" t="str">
        <f>VLOOKUP(Ondergrondscenarios[[#This Row],[VakID '[-']]],DataDijkvakken!A:I,2,FALSE)</f>
        <v>02a</v>
      </c>
      <c r="D17" s="8" t="str">
        <f>GenererenScenarios!$B$6</f>
        <v>P_S4</v>
      </c>
      <c r="E17" s="8" t="str">
        <f>GenererenScenarios!$C$6</f>
        <v>-</v>
      </c>
      <c r="F17" s="26">
        <v>0</v>
      </c>
      <c r="G17" s="29">
        <f>VLOOKUP($C17,DataDijkvakken!$B:$G,2,FALSE)</f>
        <v>3.0566952499999998</v>
      </c>
      <c r="H17" s="7"/>
      <c r="I17" s="7"/>
      <c r="J17" s="29"/>
      <c r="K17" s="29">
        <f t="shared" si="6"/>
        <v>3.0566952499999998</v>
      </c>
      <c r="L17" s="7"/>
      <c r="M17" s="29">
        <f>IF(Ondergrondscenarios[[#This Row],[Scenariotype '[-']]]="Tussenzandlaag",0,VLOOKUP($C17,DataDijkvakken[#All],4,FALSE))</f>
        <v>65</v>
      </c>
      <c r="N17" s="29">
        <f t="shared" si="7"/>
        <v>65</v>
      </c>
      <c r="O17" s="29">
        <f>VLOOKUP($C17,DataDijkvakken!$B:$G,5,FALSE)</f>
        <v>15</v>
      </c>
      <c r="P17" s="29">
        <f>VLOOKUP($C17,DataDijkvakken!$B:$G,6,FALSE)</f>
        <v>40.192307692307693</v>
      </c>
      <c r="Q17" s="29">
        <f t="shared" si="8"/>
        <v>40.192307692307693</v>
      </c>
      <c r="R17" s="7">
        <v>2612.5</v>
      </c>
      <c r="S17" s="27"/>
      <c r="T17" s="32">
        <f t="shared" si="9"/>
        <v>0</v>
      </c>
      <c r="U17" s="27"/>
      <c r="V17">
        <f t="shared" si="10"/>
        <v>170.66952499999996</v>
      </c>
      <c r="W17" s="31">
        <f t="shared" si="11"/>
        <v>667.73807294664573</v>
      </c>
      <c r="X17" s="33"/>
      <c r="Y17" t="str">
        <f>IF(Ondergrondscenarios[[#This Row],[Scenariotype '[-']]]="-","",IF(Ondergrondscenarios[[#This Row],[Scenariotype '[-']]]="Pleistoceen",VLOOKUP(Ondergrondscenarios[[#This Row],[Vaknaam '[-']]],DataDijkvakken[#All],8,FALSE),VLOOKUP(Ondergrondscenarios[[#This Row],[Vaknaam '[-']]],DataDijkvakken[#All],7,FALSE)))</f>
        <v/>
      </c>
      <c r="Z17">
        <f>VLOOKUP($C17,DataDijkvakken[#All],3,FALSE)</f>
        <v>18</v>
      </c>
      <c r="AA17" s="8"/>
    </row>
    <row r="18" spans="1:27" x14ac:dyDescent="0.3">
      <c r="A18">
        <f>IFERROR(IF(Ondergrondscenarios[[#This Row],[Scenarionaam '[-']]]="","",A17+1),1)</f>
        <v>17</v>
      </c>
      <c r="B18">
        <f>A19/6</f>
        <v>3</v>
      </c>
      <c r="C18" t="str">
        <f>VLOOKUP(Ondergrondscenarios[[#This Row],[VakID '[-']]],DataDijkvakken!A:I,2,FALSE)</f>
        <v>02a</v>
      </c>
      <c r="D18" s="8" t="str">
        <f>GenererenScenarios!$B$7</f>
        <v>P_S5</v>
      </c>
      <c r="E18" s="8" t="str">
        <f>GenererenScenarios!$C$7</f>
        <v>-</v>
      </c>
      <c r="F18" s="26">
        <v>0</v>
      </c>
      <c r="G18" s="29">
        <f>VLOOKUP($C18,DataDijkvakken!$B:$G,2,FALSE)</f>
        <v>3.0566952499999998</v>
      </c>
      <c r="H18" s="7"/>
      <c r="I18" s="7"/>
      <c r="J18" s="29"/>
      <c r="K18" s="29">
        <f t="shared" si="6"/>
        <v>3.0566952499999998</v>
      </c>
      <c r="L18" s="7"/>
      <c r="M18" s="29">
        <f>IF(Ondergrondscenarios[[#This Row],[Scenariotype '[-']]]="Tussenzandlaag",0,VLOOKUP($C18,DataDijkvakken[#All],4,FALSE))</f>
        <v>65</v>
      </c>
      <c r="N18" s="29">
        <f t="shared" si="7"/>
        <v>65</v>
      </c>
      <c r="O18" s="29">
        <f>VLOOKUP($C18,DataDijkvakken!$B:$G,5,FALSE)</f>
        <v>15</v>
      </c>
      <c r="P18" s="29">
        <f>VLOOKUP($C18,DataDijkvakken!$B:$G,6,FALSE)</f>
        <v>40.192307692307693</v>
      </c>
      <c r="Q18" s="29">
        <f t="shared" si="8"/>
        <v>40.192307692307693</v>
      </c>
      <c r="R18" s="7">
        <v>2612.5</v>
      </c>
      <c r="S18" s="27"/>
      <c r="T18" s="32">
        <f t="shared" si="9"/>
        <v>0</v>
      </c>
      <c r="U18" s="27"/>
      <c r="V18">
        <f t="shared" si="10"/>
        <v>170.66952499999996</v>
      </c>
      <c r="W18" s="31">
        <f t="shared" si="11"/>
        <v>667.73807294664573</v>
      </c>
      <c r="X18" s="33"/>
      <c r="Y18" t="str">
        <f>IF(Ondergrondscenarios[[#This Row],[Scenariotype '[-']]]="-","",IF(Ondergrondscenarios[[#This Row],[Scenariotype '[-']]]="Pleistoceen",VLOOKUP(Ondergrondscenarios[[#This Row],[Vaknaam '[-']]],DataDijkvakken[#All],8,FALSE),VLOOKUP(Ondergrondscenarios[[#This Row],[Vaknaam '[-']]],DataDijkvakken[#All],7,FALSE)))</f>
        <v/>
      </c>
      <c r="Z18">
        <f>VLOOKUP($C18,DataDijkvakken[#All],3,FALSE)</f>
        <v>18</v>
      </c>
      <c r="AA18" s="8"/>
    </row>
    <row r="19" spans="1:27" x14ac:dyDescent="0.3">
      <c r="A19">
        <f>IFERROR(IF(Ondergrondscenarios[[#This Row],[Scenarionaam '[-']]]="","",A18+1),1)</f>
        <v>18</v>
      </c>
      <c r="B19">
        <f>A19/6</f>
        <v>3</v>
      </c>
      <c r="C19" t="str">
        <f>VLOOKUP(Ondergrondscenarios[[#This Row],[VakID '[-']]],DataDijkvakken!A:I,2,FALSE)</f>
        <v>02a</v>
      </c>
      <c r="D19" s="8" t="str">
        <f>GenererenScenarios!$B$8</f>
        <v>P_S6</v>
      </c>
      <c r="E19" s="8" t="str">
        <f>GenererenScenarios!$C$8</f>
        <v>-</v>
      </c>
      <c r="F19" s="26">
        <v>0</v>
      </c>
      <c r="G19" s="29">
        <f>VLOOKUP($C19,DataDijkvakken!$B:$G,2,FALSE)</f>
        <v>3.0566952499999998</v>
      </c>
      <c r="H19" s="7"/>
      <c r="I19" s="7"/>
      <c r="J19" s="29"/>
      <c r="K19" s="29">
        <f t="shared" si="6"/>
        <v>3.0566952499999998</v>
      </c>
      <c r="L19" s="7"/>
      <c r="M19" s="29">
        <f>IF(Ondergrondscenarios[[#This Row],[Scenariotype '[-']]]="Tussenzandlaag",0,VLOOKUP($C19,DataDijkvakken[#All],4,FALSE))</f>
        <v>65</v>
      </c>
      <c r="N19" s="29">
        <f t="shared" si="7"/>
        <v>65</v>
      </c>
      <c r="O19" s="29">
        <f>VLOOKUP($C19,DataDijkvakken!$B:$G,5,FALSE)</f>
        <v>15</v>
      </c>
      <c r="P19" s="29">
        <f>VLOOKUP($C19,DataDijkvakken!$B:$G,6,FALSE)</f>
        <v>40.192307692307693</v>
      </c>
      <c r="Q19" s="29">
        <f t="shared" si="8"/>
        <v>40.192307692307693</v>
      </c>
      <c r="R19" s="7">
        <v>2612.5</v>
      </c>
      <c r="S19" s="27"/>
      <c r="T19" s="32">
        <f t="shared" si="9"/>
        <v>0</v>
      </c>
      <c r="U19" s="27"/>
      <c r="V19">
        <f t="shared" si="10"/>
        <v>170.66952499999996</v>
      </c>
      <c r="W19" s="31">
        <f t="shared" si="11"/>
        <v>667.73807294664573</v>
      </c>
      <c r="X19" s="33"/>
      <c r="Y19" t="str">
        <f>IF(Ondergrondscenarios[[#This Row],[Scenariotype '[-']]]="-","",IF(Ondergrondscenarios[[#This Row],[Scenariotype '[-']]]="Pleistoceen",VLOOKUP(Ondergrondscenarios[[#This Row],[Vaknaam '[-']]],DataDijkvakken[#All],8,FALSE),VLOOKUP(Ondergrondscenarios[[#This Row],[Vaknaam '[-']]],DataDijkvakken[#All],7,FALSE)))</f>
        <v/>
      </c>
      <c r="Z19">
        <f>VLOOKUP($C19,DataDijkvakken[#All],3,FALSE)</f>
        <v>18</v>
      </c>
      <c r="AA19" s="8"/>
    </row>
    <row r="20" spans="1:27" x14ac:dyDescent="0.3">
      <c r="A20">
        <f>IFERROR(IF(Ondergrondscenarios[[#This Row],[Scenarionaam '[-']]]="","",A19+1),1)</f>
        <v>19</v>
      </c>
      <c r="B20">
        <f>A25/6</f>
        <v>4</v>
      </c>
      <c r="C20" t="str">
        <f>VLOOKUP(Ondergrondscenarios[[#This Row],[VakID '[-']]],DataDijkvakken!A:I,2,FALSE)</f>
        <v>02b</v>
      </c>
      <c r="D20" s="8" t="str">
        <f>GenererenScenarios!$B$3</f>
        <v>P_S1_PL</v>
      </c>
      <c r="E20" s="8" t="str">
        <f>GenererenScenarios!$C$3</f>
        <v>Pleistoceen</v>
      </c>
      <c r="F20" s="26">
        <v>0</v>
      </c>
      <c r="G20" s="29">
        <f>VLOOKUP($C20,DataDijkvakken!$B:$G,2,FALSE)</f>
        <v>3.2648431250000001</v>
      </c>
      <c r="H20" s="7"/>
      <c r="I20" s="7"/>
      <c r="J20" s="29"/>
      <c r="K20" s="29">
        <f t="shared" si="6"/>
        <v>3.2648431250000001</v>
      </c>
      <c r="L20" s="7"/>
      <c r="M20" s="29">
        <f>IF(Ondergrondscenarios[[#This Row],[Scenariotype '[-']]]="Tussenzandlaag",0,VLOOKUP($C20,DataDijkvakken[#All],4,FALSE))</f>
        <v>65</v>
      </c>
      <c r="N20" s="29">
        <f t="shared" si="7"/>
        <v>65</v>
      </c>
      <c r="O20" s="29">
        <f>VLOOKUP($C20,DataDijkvakken!$B:$G,5,FALSE)</f>
        <v>15</v>
      </c>
      <c r="P20" s="29">
        <f>VLOOKUP($C20,DataDijkvakken!$B:$G,6,FALSE)</f>
        <v>40.192307692307693</v>
      </c>
      <c r="Q20" s="29">
        <f t="shared" si="8"/>
        <v>40.192307692307693</v>
      </c>
      <c r="R20" s="7">
        <v>2612.5</v>
      </c>
      <c r="S20" s="27"/>
      <c r="T20" s="32">
        <f t="shared" si="9"/>
        <v>0</v>
      </c>
      <c r="U20" s="27"/>
      <c r="V20">
        <f t="shared" si="10"/>
        <v>191.48431250000002</v>
      </c>
      <c r="W20" s="31">
        <f t="shared" si="11"/>
        <v>707.28549144334215</v>
      </c>
      <c r="X20" s="33"/>
      <c r="Y20">
        <f>IF(Ondergrondscenarios[[#This Row],[Scenariotype '[-']]]="-","",IF(Ondergrondscenarios[[#This Row],[Scenariotype '[-']]]="Pleistoceen",VLOOKUP(Ondergrondscenarios[[#This Row],[Vaknaam '[-']]],DataDijkvakken[#All],8,FALSE),VLOOKUP(Ondergrondscenarios[[#This Row],[Vaknaam '[-']]],DataDijkvakken[#All],7,FALSE)))</f>
        <v>3.5000000000000005E-4</v>
      </c>
      <c r="Z20">
        <f>VLOOKUP($C20,DataDijkvakken[#All],3,FALSE)</f>
        <v>18</v>
      </c>
      <c r="AA20" s="8"/>
    </row>
    <row r="21" spans="1:27" x14ac:dyDescent="0.3">
      <c r="A21">
        <f>IFERROR(IF(Ondergrondscenarios[[#This Row],[Scenarionaam '[-']]]="","",A20+1),1)</f>
        <v>20</v>
      </c>
      <c r="B21">
        <f>A25/6</f>
        <v>4</v>
      </c>
      <c r="C21" t="str">
        <f>VLOOKUP(Ondergrondscenarios[[#This Row],[VakID '[-']]],DataDijkvakken!A:I,2,FALSE)</f>
        <v>02b</v>
      </c>
      <c r="D21" s="8" t="str">
        <f>GenererenScenarios!$B$4</f>
        <v>P_S2_HL_F</v>
      </c>
      <c r="E21" s="8" t="str">
        <f>GenererenScenarios!$C$4</f>
        <v>Holoceen</v>
      </c>
      <c r="F21" s="26">
        <v>0.9</v>
      </c>
      <c r="G21" s="29">
        <f>VLOOKUP($C21,DataDijkvakken!$B:$G,2,FALSE)</f>
        <v>3.2648431250000001</v>
      </c>
      <c r="H21" s="7"/>
      <c r="I21" s="7"/>
      <c r="J21" s="29">
        <v>0.5</v>
      </c>
      <c r="K21" s="29">
        <f t="shared" si="6"/>
        <v>2.7648431250000001</v>
      </c>
      <c r="L21" s="7">
        <v>8</v>
      </c>
      <c r="M21" s="29">
        <f>IF(Ondergrondscenarios[[#This Row],[Scenariotype '[-']]]="Tussenzandlaag",0,VLOOKUP($C21,DataDijkvakken[#All],4,FALSE))</f>
        <v>65</v>
      </c>
      <c r="N21" s="29">
        <f t="shared" si="7"/>
        <v>73</v>
      </c>
      <c r="O21" s="29">
        <f>VLOOKUP($C21,DataDijkvakken!$B:$G,5,FALSE)</f>
        <v>15</v>
      </c>
      <c r="P21" s="29">
        <f>VLOOKUP($C21,DataDijkvakken!$B:$G,6,FALSE)</f>
        <v>40.192307692307693</v>
      </c>
      <c r="Q21" s="29">
        <f t="shared" si="8"/>
        <v>37.43150684931507</v>
      </c>
      <c r="R21" s="7">
        <v>2732.5</v>
      </c>
      <c r="S21" s="27"/>
      <c r="T21" s="32">
        <f t="shared" si="9"/>
        <v>0</v>
      </c>
      <c r="U21" s="27"/>
      <c r="V21">
        <f t="shared" si="10"/>
        <v>141.48431249999999</v>
      </c>
      <c r="W21" s="31">
        <f t="shared" si="11"/>
        <v>621.77639381553388</v>
      </c>
      <c r="X21" s="33"/>
      <c r="Y21">
        <f>IF(Ondergrondscenarios[[#This Row],[Scenariotype '[-']]]="-","",IF(Ondergrondscenarios[[#This Row],[Scenariotype '[-']]]="Pleistoceen",VLOOKUP(Ondergrondscenarios[[#This Row],[Vaknaam '[-']]],DataDijkvakken[#All],8,FALSE),VLOOKUP(Ondergrondscenarios[[#This Row],[Vaknaam '[-']]],DataDijkvakken[#All],7,FALSE)))</f>
        <v>2.8000000000000003E-4</v>
      </c>
      <c r="Z21">
        <f>VLOOKUP($C21,DataDijkvakken[#All],3,FALSE)</f>
        <v>18</v>
      </c>
      <c r="AA21" s="8"/>
    </row>
    <row r="22" spans="1:27" x14ac:dyDescent="0.3">
      <c r="A22">
        <f>IFERROR(IF(Ondergrondscenarios[[#This Row],[Scenarionaam '[-']]]="","",A21+1),1)</f>
        <v>21</v>
      </c>
      <c r="B22">
        <f>A25/6</f>
        <v>4</v>
      </c>
      <c r="C22" t="str">
        <f>VLOOKUP(Ondergrondscenarios[[#This Row],[VakID '[-']]],DataDijkvakken!A:I,2,FALSE)</f>
        <v>02b</v>
      </c>
      <c r="D22" s="8" t="str">
        <f>GenererenScenarios!$B$5</f>
        <v>P_S3_HL_TZ</v>
      </c>
      <c r="E22" s="8" t="str">
        <f>GenererenScenarios!$C$5</f>
        <v>Tussenzandlaag</v>
      </c>
      <c r="F22" s="26">
        <v>0.1</v>
      </c>
      <c r="G22" s="29">
        <f>VLOOKUP($C22,DataDijkvakken!$B:$G,2,FALSE)</f>
        <v>3.2648431250000001</v>
      </c>
      <c r="H22" s="7"/>
      <c r="I22" s="7"/>
      <c r="J22" s="29">
        <v>1</v>
      </c>
      <c r="K22" s="29">
        <f t="shared" si="6"/>
        <v>2.2648431250000001</v>
      </c>
      <c r="L22" s="7">
        <v>1.6</v>
      </c>
      <c r="M22" s="29">
        <f>IF(Ondergrondscenarios[[#This Row],[Scenariotype '[-']]]="Tussenzandlaag",0,VLOOKUP($C22,DataDijkvakken[#All],4,FALSE))</f>
        <v>0</v>
      </c>
      <c r="N22" s="29">
        <f t="shared" si="7"/>
        <v>1.6</v>
      </c>
      <c r="O22" s="29">
        <f>VLOOKUP($C22,DataDijkvakken!$B:$G,5,FALSE)</f>
        <v>15</v>
      </c>
      <c r="P22" s="29">
        <f>VLOOKUP($C22,DataDijkvakken!$B:$G,6,FALSE)</f>
        <v>40.192307692307693</v>
      </c>
      <c r="Q22" s="29">
        <f t="shared" si="8"/>
        <v>15</v>
      </c>
      <c r="R22" s="7">
        <v>24</v>
      </c>
      <c r="S22" s="27"/>
      <c r="T22" s="32">
        <f t="shared" si="9"/>
        <v>0</v>
      </c>
      <c r="U22" s="27"/>
      <c r="V22">
        <f t="shared" si="10"/>
        <v>91.484312500000001</v>
      </c>
      <c r="W22" s="31">
        <f t="shared" si="11"/>
        <v>46.857480726133794</v>
      </c>
      <c r="X22" s="33"/>
      <c r="Y22">
        <f>IF(Ondergrondscenarios[[#This Row],[Scenariotype '[-']]]="-","",IF(Ondergrondscenarios[[#This Row],[Scenariotype '[-']]]="Pleistoceen",VLOOKUP(Ondergrondscenarios[[#This Row],[Vaknaam '[-']]],DataDijkvakken[#All],8,FALSE),VLOOKUP(Ondergrondscenarios[[#This Row],[Vaknaam '[-']]],DataDijkvakken[#All],7,FALSE)))</f>
        <v>2.8000000000000003E-4</v>
      </c>
      <c r="Z22">
        <f>VLOOKUP($C22,DataDijkvakken[#All],3,FALSE)</f>
        <v>18</v>
      </c>
      <c r="AA22" s="8"/>
    </row>
    <row r="23" spans="1:27" x14ac:dyDescent="0.3">
      <c r="A23">
        <f>IFERROR(IF(Ondergrondscenarios[[#This Row],[Scenarionaam '[-']]]="","",A22+1),1)</f>
        <v>22</v>
      </c>
      <c r="B23">
        <f>A25/6</f>
        <v>4</v>
      </c>
      <c r="C23" t="str">
        <f>VLOOKUP(Ondergrondscenarios[[#This Row],[VakID '[-']]],DataDijkvakken!A:I,2,FALSE)</f>
        <v>02b</v>
      </c>
      <c r="D23" s="8" t="str">
        <f>GenererenScenarios!$B$6</f>
        <v>P_S4</v>
      </c>
      <c r="E23" s="8" t="str">
        <f>GenererenScenarios!$C$6</f>
        <v>-</v>
      </c>
      <c r="F23" s="26">
        <v>0</v>
      </c>
      <c r="G23" s="29">
        <f>VLOOKUP($C23,DataDijkvakken!$B:$G,2,FALSE)</f>
        <v>3.2648431250000001</v>
      </c>
      <c r="H23" s="7"/>
      <c r="I23" s="7"/>
      <c r="J23" s="29">
        <v>0.5</v>
      </c>
      <c r="K23" s="29">
        <f t="shared" si="6"/>
        <v>2.7648431250000001</v>
      </c>
      <c r="L23" s="7">
        <v>11.5</v>
      </c>
      <c r="M23" s="29">
        <f>IF(Ondergrondscenarios[[#This Row],[Scenariotype '[-']]]="Tussenzandlaag",0,VLOOKUP($C23,DataDijkvakken[#All],4,FALSE))</f>
        <v>65</v>
      </c>
      <c r="N23" s="29">
        <f t="shared" si="7"/>
        <v>76.5</v>
      </c>
      <c r="O23" s="29">
        <f>VLOOKUP($C23,DataDijkvakken!$B:$G,5,FALSE)</f>
        <v>15</v>
      </c>
      <c r="P23" s="29">
        <f>VLOOKUP($C23,DataDijkvakken!$B:$G,6,FALSE)</f>
        <v>40.192307692307693</v>
      </c>
      <c r="Q23" s="29">
        <f t="shared" si="8"/>
        <v>36.405228758169933</v>
      </c>
      <c r="R23" s="7">
        <v>2785</v>
      </c>
      <c r="S23" s="27"/>
      <c r="T23" s="32">
        <f t="shared" si="9"/>
        <v>0</v>
      </c>
      <c r="U23" s="27"/>
      <c r="V23">
        <f t="shared" si="10"/>
        <v>141.48431249999999</v>
      </c>
      <c r="W23" s="31">
        <f t="shared" si="11"/>
        <v>627.72112463457847</v>
      </c>
      <c r="X23" s="33"/>
      <c r="Y23" t="str">
        <f>IF(Ondergrondscenarios[[#This Row],[Scenariotype '[-']]]="-","",IF(Ondergrondscenarios[[#This Row],[Scenariotype '[-']]]="Pleistoceen",VLOOKUP(Ondergrondscenarios[[#This Row],[Vaknaam '[-']]],DataDijkvakken[#All],8,FALSE),VLOOKUP(Ondergrondscenarios[[#This Row],[Vaknaam '[-']]],DataDijkvakken[#All],7,FALSE)))</f>
        <v/>
      </c>
      <c r="Z23">
        <f>VLOOKUP($C23,DataDijkvakken[#All],3,FALSE)</f>
        <v>18</v>
      </c>
      <c r="AA23" s="8"/>
    </row>
    <row r="24" spans="1:27" x14ac:dyDescent="0.3">
      <c r="A24">
        <f>IFERROR(IF(Ondergrondscenarios[[#This Row],[Scenarionaam '[-']]]="","",A23+1),1)</f>
        <v>23</v>
      </c>
      <c r="B24">
        <f>A25/6</f>
        <v>4</v>
      </c>
      <c r="C24" t="str">
        <f>VLOOKUP(Ondergrondscenarios[[#This Row],[VakID '[-']]],DataDijkvakken!A:I,2,FALSE)</f>
        <v>02b</v>
      </c>
      <c r="D24" s="8" t="str">
        <f>GenererenScenarios!$B$7</f>
        <v>P_S5</v>
      </c>
      <c r="E24" s="8" t="str">
        <f>GenererenScenarios!$C$7</f>
        <v>-</v>
      </c>
      <c r="F24" s="26">
        <v>0</v>
      </c>
      <c r="G24" s="29">
        <f>VLOOKUP($C24,DataDijkvakken!$B:$G,2,FALSE)</f>
        <v>3.2648431250000001</v>
      </c>
      <c r="H24" s="7"/>
      <c r="I24" s="7"/>
      <c r="J24" s="29"/>
      <c r="K24" s="29">
        <f t="shared" si="6"/>
        <v>3.2648431250000001</v>
      </c>
      <c r="L24" s="7"/>
      <c r="M24" s="29">
        <f>IF(Ondergrondscenarios[[#This Row],[Scenariotype '[-']]]="Tussenzandlaag",0,VLOOKUP($C24,DataDijkvakken[#All],4,FALSE))</f>
        <v>65</v>
      </c>
      <c r="N24" s="29">
        <f t="shared" si="7"/>
        <v>65</v>
      </c>
      <c r="O24" s="29">
        <f>VLOOKUP($C24,DataDijkvakken!$B:$G,5,FALSE)</f>
        <v>15</v>
      </c>
      <c r="P24" s="29">
        <f>VLOOKUP($C24,DataDijkvakken!$B:$G,6,FALSE)</f>
        <v>40.192307692307693</v>
      </c>
      <c r="Q24" s="29">
        <f t="shared" si="8"/>
        <v>40.192307692307693</v>
      </c>
      <c r="R24" s="7">
        <v>2612.5</v>
      </c>
      <c r="S24" s="27"/>
      <c r="T24" s="32">
        <f t="shared" si="9"/>
        <v>0</v>
      </c>
      <c r="U24" s="27"/>
      <c r="V24">
        <f t="shared" si="10"/>
        <v>191.48431250000002</v>
      </c>
      <c r="W24" s="31">
        <f t="shared" si="11"/>
        <v>707.28549144334215</v>
      </c>
      <c r="X24" s="33"/>
      <c r="Y24" t="str">
        <f>IF(Ondergrondscenarios[[#This Row],[Scenariotype '[-']]]="-","",IF(Ondergrondscenarios[[#This Row],[Scenariotype '[-']]]="Pleistoceen",VLOOKUP(Ondergrondscenarios[[#This Row],[Vaknaam '[-']]],DataDijkvakken[#All],8,FALSE),VLOOKUP(Ondergrondscenarios[[#This Row],[Vaknaam '[-']]],DataDijkvakken[#All],7,FALSE)))</f>
        <v/>
      </c>
      <c r="Z24">
        <f>VLOOKUP($C24,DataDijkvakken[#All],3,FALSE)</f>
        <v>18</v>
      </c>
      <c r="AA24" s="8"/>
    </row>
    <row r="25" spans="1:27" x14ac:dyDescent="0.3">
      <c r="A25">
        <f>IFERROR(IF(Ondergrondscenarios[[#This Row],[Scenarionaam '[-']]]="","",A24+1),1)</f>
        <v>24</v>
      </c>
      <c r="B25">
        <f>A25/6</f>
        <v>4</v>
      </c>
      <c r="C25" t="str">
        <f>VLOOKUP(Ondergrondscenarios[[#This Row],[VakID '[-']]],DataDijkvakken!A:I,2,FALSE)</f>
        <v>02b</v>
      </c>
      <c r="D25" s="8" t="str">
        <f>GenererenScenarios!$B$8</f>
        <v>P_S6</v>
      </c>
      <c r="E25" s="8" t="str">
        <f>GenererenScenarios!$C$8</f>
        <v>-</v>
      </c>
      <c r="F25" s="26">
        <v>0</v>
      </c>
      <c r="G25" s="29">
        <f>VLOOKUP($C25,DataDijkvakken!$B:$G,2,FALSE)</f>
        <v>3.2648431250000001</v>
      </c>
      <c r="H25" s="7"/>
      <c r="I25" s="7"/>
      <c r="J25" s="29"/>
      <c r="K25" s="29">
        <f t="shared" si="6"/>
        <v>3.2648431250000001</v>
      </c>
      <c r="L25" s="7"/>
      <c r="M25" s="29">
        <f>IF(Ondergrondscenarios[[#This Row],[Scenariotype '[-']]]="Tussenzandlaag",0,VLOOKUP($C25,DataDijkvakken[#All],4,FALSE))</f>
        <v>65</v>
      </c>
      <c r="N25" s="29">
        <f t="shared" si="7"/>
        <v>65</v>
      </c>
      <c r="O25" s="29">
        <f>VLOOKUP($C25,DataDijkvakken!$B:$G,5,FALSE)</f>
        <v>15</v>
      </c>
      <c r="P25" s="29">
        <f>VLOOKUP($C25,DataDijkvakken!$B:$G,6,FALSE)</f>
        <v>40.192307692307693</v>
      </c>
      <c r="Q25" s="29">
        <f t="shared" si="8"/>
        <v>40.192307692307693</v>
      </c>
      <c r="R25" s="7">
        <v>2612.5</v>
      </c>
      <c r="S25" s="27"/>
      <c r="T25" s="32">
        <f t="shared" si="9"/>
        <v>0</v>
      </c>
      <c r="U25" s="27"/>
      <c r="V25">
        <f t="shared" si="10"/>
        <v>191.48431250000002</v>
      </c>
      <c r="W25" s="31">
        <f t="shared" si="11"/>
        <v>707.28549144334215</v>
      </c>
      <c r="X25" s="33"/>
      <c r="Y25" t="str">
        <f>IF(Ondergrondscenarios[[#This Row],[Scenariotype '[-']]]="-","",IF(Ondergrondscenarios[[#This Row],[Scenariotype '[-']]]="Pleistoceen",VLOOKUP(Ondergrondscenarios[[#This Row],[Vaknaam '[-']]],DataDijkvakken[#All],8,FALSE),VLOOKUP(Ondergrondscenarios[[#This Row],[Vaknaam '[-']]],DataDijkvakken[#All],7,FALSE)))</f>
        <v/>
      </c>
      <c r="Z25">
        <f>VLOOKUP($C25,DataDijkvakken[#All],3,FALSE)</f>
        <v>18</v>
      </c>
      <c r="AA25" s="8"/>
    </row>
    <row r="26" spans="1:27" x14ac:dyDescent="0.3">
      <c r="A26">
        <f>IFERROR(IF(Ondergrondscenarios[[#This Row],[Scenarionaam '[-']]]="","",A25+1),1)</f>
        <v>25</v>
      </c>
      <c r="B26">
        <f>A31/6</f>
        <v>5</v>
      </c>
      <c r="C26" t="str">
        <f>VLOOKUP(Ondergrondscenarios[[#This Row],[VakID '[-']]],DataDijkvakken!A:I,2,FALSE)</f>
        <v>02c</v>
      </c>
      <c r="D26" s="8" t="str">
        <f>GenererenScenarios!$B$3</f>
        <v>P_S1_PL</v>
      </c>
      <c r="E26" s="8" t="str">
        <f>GenererenScenarios!$C$3</f>
        <v>Pleistoceen</v>
      </c>
      <c r="F26" s="26">
        <v>0</v>
      </c>
      <c r="G26" s="29">
        <f>VLOOKUP($C26,DataDijkvakken!$B:$G,2,FALSE)</f>
        <v>4.0806027826086959</v>
      </c>
      <c r="H26" s="7"/>
      <c r="I26" s="7"/>
      <c r="J26" s="29"/>
      <c r="K26" s="29">
        <f t="shared" si="6"/>
        <v>4.0806027826086959</v>
      </c>
      <c r="L26" s="7"/>
      <c r="M26" s="29">
        <f>IF(Ondergrondscenarios[[#This Row],[Scenariotype '[-']]]="Tussenzandlaag",0,VLOOKUP($C26,DataDijkvakken[#All],4,FALSE))</f>
        <v>65</v>
      </c>
      <c r="N26" s="29">
        <f t="shared" si="7"/>
        <v>65</v>
      </c>
      <c r="O26" s="29">
        <f>VLOOKUP($C26,DataDijkvakken!$B:$G,5,FALSE)</f>
        <v>15</v>
      </c>
      <c r="P26" s="29">
        <f>VLOOKUP($C26,DataDijkvakken!$B:$G,6,FALSE)</f>
        <v>40.192307692307693</v>
      </c>
      <c r="Q26" s="29">
        <f t="shared" si="8"/>
        <v>40.192307692307693</v>
      </c>
      <c r="R26" s="7">
        <v>2612.5</v>
      </c>
      <c r="S26" s="27"/>
      <c r="T26" s="32">
        <f t="shared" si="9"/>
        <v>0</v>
      </c>
      <c r="U26" s="27"/>
      <c r="V26">
        <f t="shared" si="10"/>
        <v>273.06027826086961</v>
      </c>
      <c r="W26" s="31">
        <f t="shared" si="11"/>
        <v>844.61232346948498</v>
      </c>
      <c r="X26" s="33"/>
      <c r="Y26">
        <f>IF(Ondergrondscenarios[[#This Row],[Scenariotype '[-']]]="-","",IF(Ondergrondscenarios[[#This Row],[Scenariotype '[-']]]="Pleistoceen",VLOOKUP(Ondergrondscenarios[[#This Row],[Vaknaam '[-']]],DataDijkvakken[#All],8,FALSE),VLOOKUP(Ondergrondscenarios[[#This Row],[Vaknaam '[-']]],DataDijkvakken[#All],7,FALSE)))</f>
        <v>3.5000000000000005E-4</v>
      </c>
      <c r="Z26">
        <f>VLOOKUP($C26,DataDijkvakken[#All],3,FALSE)</f>
        <v>18</v>
      </c>
      <c r="AA26" s="8"/>
    </row>
    <row r="27" spans="1:27" x14ac:dyDescent="0.3">
      <c r="A27">
        <f>IFERROR(IF(Ondergrondscenarios[[#This Row],[Scenarionaam '[-']]]="","",A26+1),1)</f>
        <v>26</v>
      </c>
      <c r="B27">
        <f>A31/6</f>
        <v>5</v>
      </c>
      <c r="C27" t="str">
        <f>VLOOKUP(Ondergrondscenarios[[#This Row],[VakID '[-']]],DataDijkvakken!A:I,2,FALSE)</f>
        <v>02c</v>
      </c>
      <c r="D27" s="8" t="str">
        <f>GenererenScenarios!$B$4</f>
        <v>P_S2_HL_F</v>
      </c>
      <c r="E27" s="8" t="str">
        <f>GenererenScenarios!$C$4</f>
        <v>Holoceen</v>
      </c>
      <c r="F27" s="26">
        <v>1</v>
      </c>
      <c r="G27" s="29">
        <f>VLOOKUP($C27,DataDijkvakken!$B:$G,2,FALSE)</f>
        <v>4.0806027826086959</v>
      </c>
      <c r="H27" s="7"/>
      <c r="I27" s="7"/>
      <c r="J27" s="29">
        <v>1.8</v>
      </c>
      <c r="K27" s="29">
        <f t="shared" si="6"/>
        <v>2.2806027826086961</v>
      </c>
      <c r="L27" s="7">
        <v>10</v>
      </c>
      <c r="M27" s="29">
        <f>IF(Ondergrondscenarios[[#This Row],[Scenariotype '[-']]]="Tussenzandlaag",0,VLOOKUP($C27,DataDijkvakken[#All],4,FALSE))</f>
        <v>65</v>
      </c>
      <c r="N27" s="29">
        <f t="shared" si="7"/>
        <v>75</v>
      </c>
      <c r="O27" s="29">
        <f>VLOOKUP($C27,DataDijkvakken!$B:$G,5,FALSE)</f>
        <v>15</v>
      </c>
      <c r="P27" s="29">
        <f>VLOOKUP($C27,DataDijkvakken!$B:$G,6,FALSE)</f>
        <v>40.192307692307693</v>
      </c>
      <c r="Q27" s="29">
        <f t="shared" si="8"/>
        <v>36.833333333333336</v>
      </c>
      <c r="R27" s="7">
        <v>2762.5</v>
      </c>
      <c r="S27" s="27"/>
      <c r="T27" s="32">
        <f t="shared" si="9"/>
        <v>0</v>
      </c>
      <c r="U27" s="27"/>
      <c r="V27">
        <f t="shared" si="10"/>
        <v>93.060278260869609</v>
      </c>
      <c r="W27" s="31">
        <f t="shared" si="11"/>
        <v>507.0296033720835</v>
      </c>
      <c r="X27" s="33"/>
      <c r="Y27">
        <f>IF(Ondergrondscenarios[[#This Row],[Scenariotype '[-']]]="-","",IF(Ondergrondscenarios[[#This Row],[Scenariotype '[-']]]="Pleistoceen",VLOOKUP(Ondergrondscenarios[[#This Row],[Vaknaam '[-']]],DataDijkvakken[#All],8,FALSE),VLOOKUP(Ondergrondscenarios[[#This Row],[Vaknaam '[-']]],DataDijkvakken[#All],7,FALSE)))</f>
        <v>2.8000000000000003E-4</v>
      </c>
      <c r="Z27">
        <f>VLOOKUP($C27,DataDijkvakken[#All],3,FALSE)</f>
        <v>18</v>
      </c>
      <c r="AA27" s="8"/>
    </row>
    <row r="28" spans="1:27" x14ac:dyDescent="0.3">
      <c r="A28">
        <f>IFERROR(IF(Ondergrondscenarios[[#This Row],[Scenarionaam '[-']]]="","",A27+1),1)</f>
        <v>27</v>
      </c>
      <c r="B28">
        <f>A31/6</f>
        <v>5</v>
      </c>
      <c r="C28" t="str">
        <f>VLOOKUP(Ondergrondscenarios[[#This Row],[VakID '[-']]],DataDijkvakken!A:I,2,FALSE)</f>
        <v>02c</v>
      </c>
      <c r="D28" s="8" t="str">
        <f>GenererenScenarios!$B$5</f>
        <v>P_S3_HL_TZ</v>
      </c>
      <c r="E28" s="8" t="str">
        <f>GenererenScenarios!$C$5</f>
        <v>Tussenzandlaag</v>
      </c>
      <c r="F28" s="26">
        <v>0</v>
      </c>
      <c r="G28" s="29">
        <f>VLOOKUP($C28,DataDijkvakken!$B:$G,2,FALSE)</f>
        <v>4.0806027826086959</v>
      </c>
      <c r="H28" s="7"/>
      <c r="I28" s="7"/>
      <c r="J28" s="29"/>
      <c r="K28" s="29">
        <f t="shared" si="6"/>
        <v>4.0806027826086959</v>
      </c>
      <c r="L28" s="7"/>
      <c r="M28" s="29">
        <f>IF(Ondergrondscenarios[[#This Row],[Scenariotype '[-']]]="Tussenzandlaag",0,VLOOKUP($C28,DataDijkvakken[#All],4,FALSE))</f>
        <v>0</v>
      </c>
      <c r="N28" s="29">
        <f t="shared" si="7"/>
        <v>0.1</v>
      </c>
      <c r="O28" s="29">
        <f>VLOOKUP($C28,DataDijkvakken!$B:$G,5,FALSE)</f>
        <v>15</v>
      </c>
      <c r="P28" s="29">
        <f>VLOOKUP($C28,DataDijkvakken!$B:$G,6,FALSE)</f>
        <v>40.192307692307693</v>
      </c>
      <c r="Q28" s="29">
        <f t="shared" si="8"/>
        <v>0.1</v>
      </c>
      <c r="R28" s="7">
        <v>1.0000000000000002E-2</v>
      </c>
      <c r="S28" s="27"/>
      <c r="T28" s="32">
        <f t="shared" si="9"/>
        <v>0</v>
      </c>
      <c r="U28" s="27"/>
      <c r="V28">
        <f t="shared" si="10"/>
        <v>273.06027826086961</v>
      </c>
      <c r="W28" s="31">
        <f t="shared" si="11"/>
        <v>1.6524535644334144</v>
      </c>
      <c r="X28" s="33"/>
      <c r="Y28">
        <f>IF(Ondergrondscenarios[[#This Row],[Scenariotype '[-']]]="-","",IF(Ondergrondscenarios[[#This Row],[Scenariotype '[-']]]="Pleistoceen",VLOOKUP(Ondergrondscenarios[[#This Row],[Vaknaam '[-']]],DataDijkvakken[#All],8,FALSE),VLOOKUP(Ondergrondscenarios[[#This Row],[Vaknaam '[-']]],DataDijkvakken[#All],7,FALSE)))</f>
        <v>2.8000000000000003E-4</v>
      </c>
      <c r="Z28">
        <f>VLOOKUP($C28,DataDijkvakken[#All],3,FALSE)</f>
        <v>18</v>
      </c>
      <c r="AA28" s="8"/>
    </row>
    <row r="29" spans="1:27" x14ac:dyDescent="0.3">
      <c r="A29">
        <f>IFERROR(IF(Ondergrondscenarios[[#This Row],[Scenarionaam '[-']]]="","",A28+1),1)</f>
        <v>28</v>
      </c>
      <c r="B29">
        <f>A31/6</f>
        <v>5</v>
      </c>
      <c r="C29" t="str">
        <f>VLOOKUP(Ondergrondscenarios[[#This Row],[VakID '[-']]],DataDijkvakken!A:I,2,FALSE)</f>
        <v>02c</v>
      </c>
      <c r="D29" s="8" t="str">
        <f>GenererenScenarios!$B$6</f>
        <v>P_S4</v>
      </c>
      <c r="E29" s="8" t="str">
        <f>GenererenScenarios!$C$6</f>
        <v>-</v>
      </c>
      <c r="F29" s="26">
        <v>0</v>
      </c>
      <c r="G29" s="29">
        <f>VLOOKUP($C29,DataDijkvakken!$B:$G,2,FALSE)</f>
        <v>4.0806027826086959</v>
      </c>
      <c r="H29" s="7"/>
      <c r="I29" s="7"/>
      <c r="J29" s="29"/>
      <c r="K29" s="29">
        <f t="shared" si="6"/>
        <v>4.0806027826086959</v>
      </c>
      <c r="L29" s="7"/>
      <c r="M29" s="29">
        <f>IF(Ondergrondscenarios[[#This Row],[Scenariotype '[-']]]="Tussenzandlaag",0,VLOOKUP($C29,DataDijkvakken[#All],4,FALSE))</f>
        <v>65</v>
      </c>
      <c r="N29" s="29">
        <f t="shared" si="7"/>
        <v>65</v>
      </c>
      <c r="O29" s="29">
        <f>VLOOKUP($C29,DataDijkvakken!$B:$G,5,FALSE)</f>
        <v>15</v>
      </c>
      <c r="P29" s="29">
        <f>VLOOKUP($C29,DataDijkvakken!$B:$G,6,FALSE)</f>
        <v>40.192307692307693</v>
      </c>
      <c r="Q29" s="29">
        <f t="shared" si="8"/>
        <v>40.192307692307693</v>
      </c>
      <c r="R29" s="7">
        <v>2612.5</v>
      </c>
      <c r="S29" s="27"/>
      <c r="T29" s="32">
        <f t="shared" si="9"/>
        <v>0</v>
      </c>
      <c r="U29" s="27"/>
      <c r="V29">
        <f t="shared" si="10"/>
        <v>273.06027826086961</v>
      </c>
      <c r="W29" s="31">
        <f t="shared" si="11"/>
        <v>844.61232346948498</v>
      </c>
      <c r="X29" s="33"/>
      <c r="Y29" t="str">
        <f>IF(Ondergrondscenarios[[#This Row],[Scenariotype '[-']]]="-","",IF(Ondergrondscenarios[[#This Row],[Scenariotype '[-']]]="Pleistoceen",VLOOKUP(Ondergrondscenarios[[#This Row],[Vaknaam '[-']]],DataDijkvakken[#All],8,FALSE),VLOOKUP(Ondergrondscenarios[[#This Row],[Vaknaam '[-']]],DataDijkvakken[#All],7,FALSE)))</f>
        <v/>
      </c>
      <c r="Z29">
        <f>VLOOKUP($C29,DataDijkvakken[#All],3,FALSE)</f>
        <v>18</v>
      </c>
      <c r="AA29" s="8"/>
    </row>
    <row r="30" spans="1:27" x14ac:dyDescent="0.3">
      <c r="A30">
        <f>IFERROR(IF(Ondergrondscenarios[[#This Row],[Scenarionaam '[-']]]="","",A29+1),1)</f>
        <v>29</v>
      </c>
      <c r="B30">
        <f>A31/6</f>
        <v>5</v>
      </c>
      <c r="C30" t="str">
        <f>VLOOKUP(Ondergrondscenarios[[#This Row],[VakID '[-']]],DataDijkvakken!A:I,2,FALSE)</f>
        <v>02c</v>
      </c>
      <c r="D30" s="8" t="str">
        <f>GenererenScenarios!$B$7</f>
        <v>P_S5</v>
      </c>
      <c r="E30" s="8" t="str">
        <f>GenererenScenarios!$C$7</f>
        <v>-</v>
      </c>
      <c r="F30" s="26">
        <v>0</v>
      </c>
      <c r="G30" s="29">
        <f>VLOOKUP($C30,DataDijkvakken!$B:$G,2,FALSE)</f>
        <v>4.0806027826086959</v>
      </c>
      <c r="H30" s="7"/>
      <c r="I30" s="7"/>
      <c r="J30" s="29"/>
      <c r="K30" s="29">
        <f t="shared" si="6"/>
        <v>4.0806027826086959</v>
      </c>
      <c r="L30" s="7"/>
      <c r="M30" s="29">
        <f>IF(Ondergrondscenarios[[#This Row],[Scenariotype '[-']]]="Tussenzandlaag",0,VLOOKUP($C30,DataDijkvakken[#All],4,FALSE))</f>
        <v>65</v>
      </c>
      <c r="N30" s="29">
        <f t="shared" si="7"/>
        <v>65</v>
      </c>
      <c r="O30" s="29">
        <f>VLOOKUP($C30,DataDijkvakken!$B:$G,5,FALSE)</f>
        <v>15</v>
      </c>
      <c r="P30" s="29">
        <f>VLOOKUP($C30,DataDijkvakken!$B:$G,6,FALSE)</f>
        <v>40.192307692307693</v>
      </c>
      <c r="Q30" s="29">
        <f t="shared" si="8"/>
        <v>40.192307692307693</v>
      </c>
      <c r="R30" s="7">
        <v>2612.5</v>
      </c>
      <c r="S30" s="27"/>
      <c r="T30" s="32">
        <f t="shared" si="9"/>
        <v>0</v>
      </c>
      <c r="U30" s="27"/>
      <c r="V30">
        <f t="shared" si="10"/>
        <v>273.06027826086961</v>
      </c>
      <c r="W30" s="31">
        <f t="shared" si="11"/>
        <v>844.61232346948498</v>
      </c>
      <c r="X30" s="33"/>
      <c r="Y30" t="str">
        <f>IF(Ondergrondscenarios[[#This Row],[Scenariotype '[-']]]="-","",IF(Ondergrondscenarios[[#This Row],[Scenariotype '[-']]]="Pleistoceen",VLOOKUP(Ondergrondscenarios[[#This Row],[Vaknaam '[-']]],DataDijkvakken[#All],8,FALSE),VLOOKUP(Ondergrondscenarios[[#This Row],[Vaknaam '[-']]],DataDijkvakken[#All],7,FALSE)))</f>
        <v/>
      </c>
      <c r="Z30">
        <f>VLOOKUP($C30,DataDijkvakken[#All],3,FALSE)</f>
        <v>18</v>
      </c>
      <c r="AA30" s="8"/>
    </row>
    <row r="31" spans="1:27" x14ac:dyDescent="0.3">
      <c r="A31">
        <f>IFERROR(IF(Ondergrondscenarios[[#This Row],[Scenarionaam '[-']]]="","",A30+1),1)</f>
        <v>30</v>
      </c>
      <c r="B31">
        <f>A31/6</f>
        <v>5</v>
      </c>
      <c r="C31" t="str">
        <f>VLOOKUP(Ondergrondscenarios[[#This Row],[VakID '[-']]],DataDijkvakken!A:I,2,FALSE)</f>
        <v>02c</v>
      </c>
      <c r="D31" s="8" t="str">
        <f>GenererenScenarios!$B$8</f>
        <v>P_S6</v>
      </c>
      <c r="E31" s="8" t="str">
        <f>GenererenScenarios!$C$8</f>
        <v>-</v>
      </c>
      <c r="F31" s="26">
        <v>0</v>
      </c>
      <c r="G31" s="29">
        <f>VLOOKUP($C31,DataDijkvakken!$B:$G,2,FALSE)</f>
        <v>4.0806027826086959</v>
      </c>
      <c r="H31" s="7"/>
      <c r="I31" s="7"/>
      <c r="J31" s="29"/>
      <c r="K31" s="29">
        <f t="shared" si="6"/>
        <v>4.0806027826086959</v>
      </c>
      <c r="L31" s="7"/>
      <c r="M31" s="29">
        <f>IF(Ondergrondscenarios[[#This Row],[Scenariotype '[-']]]="Tussenzandlaag",0,VLOOKUP($C31,DataDijkvakken[#All],4,FALSE))</f>
        <v>65</v>
      </c>
      <c r="N31" s="29">
        <f t="shared" si="7"/>
        <v>65</v>
      </c>
      <c r="O31" s="29">
        <f>VLOOKUP($C31,DataDijkvakken!$B:$G,5,FALSE)</f>
        <v>15</v>
      </c>
      <c r="P31" s="29">
        <f>VLOOKUP($C31,DataDijkvakken!$B:$G,6,FALSE)</f>
        <v>40.192307692307693</v>
      </c>
      <c r="Q31" s="29">
        <f t="shared" si="8"/>
        <v>40.192307692307693</v>
      </c>
      <c r="R31" s="7">
        <v>2612.5</v>
      </c>
      <c r="S31" s="27"/>
      <c r="T31" s="32">
        <f t="shared" si="9"/>
        <v>0</v>
      </c>
      <c r="U31" s="27"/>
      <c r="V31">
        <f t="shared" si="10"/>
        <v>273.06027826086961</v>
      </c>
      <c r="W31" s="31">
        <f t="shared" si="11"/>
        <v>844.61232346948498</v>
      </c>
      <c r="X31" s="33"/>
      <c r="Y31" t="str">
        <f>IF(Ondergrondscenarios[[#This Row],[Scenariotype '[-']]]="-","",IF(Ondergrondscenarios[[#This Row],[Scenariotype '[-']]]="Pleistoceen",VLOOKUP(Ondergrondscenarios[[#This Row],[Vaknaam '[-']]],DataDijkvakken[#All],8,FALSE),VLOOKUP(Ondergrondscenarios[[#This Row],[Vaknaam '[-']]],DataDijkvakken[#All],7,FALSE)))</f>
        <v/>
      </c>
      <c r="Z31">
        <f>VLOOKUP($C31,DataDijkvakken[#All],3,FALSE)</f>
        <v>18</v>
      </c>
      <c r="AA31" s="8"/>
    </row>
    <row r="32" spans="1:27" x14ac:dyDescent="0.3">
      <c r="A32">
        <f>IFERROR(IF(Ondergrondscenarios[[#This Row],[Scenarionaam '[-']]]="","",A31+1),1)</f>
        <v>31</v>
      </c>
      <c r="B32">
        <f>A37/6</f>
        <v>6</v>
      </c>
      <c r="C32" t="str">
        <f>VLOOKUP(Ondergrondscenarios[[#This Row],[VakID '[-']]],DataDijkvakken!A:I,2,FALSE)</f>
        <v>03a</v>
      </c>
      <c r="D32" s="8" t="str">
        <f>GenererenScenarios!$B$3</f>
        <v>P_S1_PL</v>
      </c>
      <c r="E32" s="8" t="str">
        <f>GenererenScenarios!$C$3</f>
        <v>Pleistoceen</v>
      </c>
      <c r="F32" s="26">
        <v>0.5</v>
      </c>
      <c r="G32" s="29">
        <f>VLOOKUP($C32,DataDijkvakken!$B:$G,2,FALSE)</f>
        <v>3.1535709090909094</v>
      </c>
      <c r="H32" s="7"/>
      <c r="I32" s="7"/>
      <c r="J32" s="29">
        <v>-5</v>
      </c>
      <c r="K32" s="29">
        <f t="shared" si="6"/>
        <v>8.1535709090909094</v>
      </c>
      <c r="L32" s="7">
        <v>0</v>
      </c>
      <c r="M32" s="29">
        <f>IF(Ondergrondscenarios[[#This Row],[Scenariotype '[-']]]="Tussenzandlaag",0,VLOOKUP($C32,DataDijkvakken[#All],4,FALSE))</f>
        <v>49.5</v>
      </c>
      <c r="N32" s="29">
        <f t="shared" si="7"/>
        <v>49.5</v>
      </c>
      <c r="O32" s="29">
        <f>VLOOKUP($C32,DataDijkvakken!$B:$G,5,FALSE)</f>
        <v>15</v>
      </c>
      <c r="P32" s="29">
        <f>VLOOKUP($C32,DataDijkvakken!$B:$G,6,FALSE)</f>
        <v>42.676767676767675</v>
      </c>
      <c r="Q32" s="29">
        <f t="shared" si="8"/>
        <v>42.676767676767675</v>
      </c>
      <c r="R32" s="7">
        <v>2112.5</v>
      </c>
      <c r="S32" s="27"/>
      <c r="T32" s="32">
        <f t="shared" si="9"/>
        <v>0</v>
      </c>
      <c r="U32" s="27"/>
      <c r="V32">
        <f t="shared" si="10"/>
        <v>680.35709090909097</v>
      </c>
      <c r="W32" s="31">
        <f t="shared" si="11"/>
        <v>1198.8554352153785</v>
      </c>
      <c r="X32" s="33"/>
      <c r="Y32">
        <f>IF(Ondergrondscenarios[[#This Row],[Scenariotype '[-']]]="-","",IF(Ondergrondscenarios[[#This Row],[Scenariotype '[-']]]="Pleistoceen",VLOOKUP(Ondergrondscenarios[[#This Row],[Vaknaam '[-']]],DataDijkvakken[#All],8,FALSE),VLOOKUP(Ondergrondscenarios[[#This Row],[Vaknaam '[-']]],DataDijkvakken[#All],7,FALSE)))</f>
        <v>3.5000000000000005E-4</v>
      </c>
      <c r="Z32">
        <f>VLOOKUP($C32,DataDijkvakken[#All],3,FALSE)</f>
        <v>18</v>
      </c>
      <c r="AA32" s="8"/>
    </row>
    <row r="33" spans="1:27" x14ac:dyDescent="0.3">
      <c r="A33">
        <f>IFERROR(IF(Ondergrondscenarios[[#This Row],[Scenarionaam '[-']]]="","",A32+1),1)</f>
        <v>32</v>
      </c>
      <c r="B33">
        <f>A37/6</f>
        <v>6</v>
      </c>
      <c r="C33" t="str">
        <f>VLOOKUP(Ondergrondscenarios[[#This Row],[VakID '[-']]],DataDijkvakken!A:I,2,FALSE)</f>
        <v>03a</v>
      </c>
      <c r="D33" s="8" t="str">
        <f>GenererenScenarios!$B$4</f>
        <v>P_S2_HL_F</v>
      </c>
      <c r="E33" s="8" t="str">
        <f>GenererenScenarios!$C$4</f>
        <v>Holoceen</v>
      </c>
      <c r="F33" s="26">
        <v>0.5</v>
      </c>
      <c r="G33" s="29">
        <f>VLOOKUP($C33,DataDijkvakken!$B:$G,2,FALSE)</f>
        <v>3.1535709090909094</v>
      </c>
      <c r="H33" s="7"/>
      <c r="I33" s="7"/>
      <c r="J33" s="29">
        <v>1</v>
      </c>
      <c r="K33" s="29">
        <f t="shared" si="6"/>
        <v>2.1535709090909094</v>
      </c>
      <c r="L33" s="7">
        <v>4</v>
      </c>
      <c r="M33" s="29">
        <f>IF(Ondergrondscenarios[[#This Row],[Scenariotype '[-']]]="Tussenzandlaag",0,VLOOKUP($C33,DataDijkvakken[#All],4,FALSE))</f>
        <v>49.5</v>
      </c>
      <c r="N33" s="29">
        <f t="shared" si="7"/>
        <v>53.5</v>
      </c>
      <c r="O33" s="29">
        <f>VLOOKUP($C33,DataDijkvakken!$B:$G,5,FALSE)</f>
        <v>15</v>
      </c>
      <c r="P33" s="29">
        <f>VLOOKUP($C33,DataDijkvakken!$B:$G,6,FALSE)</f>
        <v>42.676767676767675</v>
      </c>
      <c r="Q33" s="29">
        <f t="shared" si="8"/>
        <v>40.607476635514018</v>
      </c>
      <c r="R33" s="7">
        <v>2172.5</v>
      </c>
      <c r="S33" s="27"/>
      <c r="T33" s="32">
        <f t="shared" si="9"/>
        <v>0</v>
      </c>
      <c r="U33" s="27"/>
      <c r="V33">
        <f t="shared" si="10"/>
        <v>80.357090909090942</v>
      </c>
      <c r="W33" s="31">
        <f t="shared" si="11"/>
        <v>417.82266573272454</v>
      </c>
      <c r="X33" s="33"/>
      <c r="Y33">
        <f>IF(Ondergrondscenarios[[#This Row],[Scenariotype '[-']]]="-","",IF(Ondergrondscenarios[[#This Row],[Scenariotype '[-']]]="Pleistoceen",VLOOKUP(Ondergrondscenarios[[#This Row],[Vaknaam '[-']]],DataDijkvakken[#All],8,FALSE),VLOOKUP(Ondergrondscenarios[[#This Row],[Vaknaam '[-']]],DataDijkvakken[#All],7,FALSE)))</f>
        <v>2.8000000000000003E-4</v>
      </c>
      <c r="Z33">
        <f>VLOOKUP($C33,DataDijkvakken[#All],3,FALSE)</f>
        <v>18</v>
      </c>
      <c r="AA33" s="8"/>
    </row>
    <row r="34" spans="1:27" x14ac:dyDescent="0.3">
      <c r="A34">
        <f>IFERROR(IF(Ondergrondscenarios[[#This Row],[Scenarionaam '[-']]]="","",A33+1),1)</f>
        <v>33</v>
      </c>
      <c r="B34">
        <f>A37/6</f>
        <v>6</v>
      </c>
      <c r="C34" t="str">
        <f>VLOOKUP(Ondergrondscenarios[[#This Row],[VakID '[-']]],DataDijkvakken!A:I,2,FALSE)</f>
        <v>03a</v>
      </c>
      <c r="D34" s="8" t="str">
        <f>GenererenScenarios!$B$5</f>
        <v>P_S3_HL_TZ</v>
      </c>
      <c r="E34" s="8" t="str">
        <f>GenererenScenarios!$C$5</f>
        <v>Tussenzandlaag</v>
      </c>
      <c r="F34" s="26">
        <v>0</v>
      </c>
      <c r="G34" s="29">
        <f>VLOOKUP($C34,DataDijkvakken!$B:$G,2,FALSE)</f>
        <v>3.1535709090909094</v>
      </c>
      <c r="H34" s="7"/>
      <c r="I34" s="7"/>
      <c r="J34" s="29"/>
      <c r="K34" s="29">
        <f t="shared" si="6"/>
        <v>3.1535709090909094</v>
      </c>
      <c r="L34" s="7"/>
      <c r="M34" s="29">
        <f>IF(Ondergrondscenarios[[#This Row],[Scenariotype '[-']]]="Tussenzandlaag",0,VLOOKUP($C34,DataDijkvakken[#All],4,FALSE))</f>
        <v>0</v>
      </c>
      <c r="N34" s="29">
        <f t="shared" si="7"/>
        <v>0.1</v>
      </c>
      <c r="O34" s="29">
        <f>VLOOKUP($C34,DataDijkvakken!$B:$G,5,FALSE)</f>
        <v>15</v>
      </c>
      <c r="P34" s="29">
        <f>VLOOKUP($C34,DataDijkvakken!$B:$G,6,FALSE)</f>
        <v>42.676767676767675</v>
      </c>
      <c r="Q34" s="29">
        <f t="shared" si="8"/>
        <v>0.1</v>
      </c>
      <c r="R34" s="7">
        <v>1.0000000000000002E-2</v>
      </c>
      <c r="S34" s="27"/>
      <c r="T34" s="32">
        <f t="shared" si="9"/>
        <v>0</v>
      </c>
      <c r="U34" s="27"/>
      <c r="V34">
        <f t="shared" si="10"/>
        <v>180.35709090909094</v>
      </c>
      <c r="W34" s="31">
        <f t="shared" si="11"/>
        <v>1.3429709263758876</v>
      </c>
      <c r="X34" s="33"/>
      <c r="Y34">
        <f>IF(Ondergrondscenarios[[#This Row],[Scenariotype '[-']]]="-","",IF(Ondergrondscenarios[[#This Row],[Scenariotype '[-']]]="Pleistoceen",VLOOKUP(Ondergrondscenarios[[#This Row],[Vaknaam '[-']]],DataDijkvakken[#All],8,FALSE),VLOOKUP(Ondergrondscenarios[[#This Row],[Vaknaam '[-']]],DataDijkvakken[#All],7,FALSE)))</f>
        <v>2.8000000000000003E-4</v>
      </c>
      <c r="Z34">
        <f>VLOOKUP($C34,DataDijkvakken[#All],3,FALSE)</f>
        <v>18</v>
      </c>
      <c r="AA34" s="8"/>
    </row>
    <row r="35" spans="1:27" x14ac:dyDescent="0.3">
      <c r="A35">
        <f>IFERROR(IF(Ondergrondscenarios[[#This Row],[Scenarionaam '[-']]]="","",A34+1),1)</f>
        <v>34</v>
      </c>
      <c r="B35">
        <f>A37/6</f>
        <v>6</v>
      </c>
      <c r="C35" t="str">
        <f>VLOOKUP(Ondergrondscenarios[[#This Row],[VakID '[-']]],DataDijkvakken!A:I,2,FALSE)</f>
        <v>03a</v>
      </c>
      <c r="D35" s="8" t="str">
        <f>GenererenScenarios!$B$6</f>
        <v>P_S4</v>
      </c>
      <c r="E35" s="8" t="str">
        <f>GenererenScenarios!$C$6</f>
        <v>-</v>
      </c>
      <c r="F35" s="26">
        <v>0</v>
      </c>
      <c r="G35" s="29">
        <f>VLOOKUP($C35,DataDijkvakken!$B:$G,2,FALSE)</f>
        <v>3.1535709090909094</v>
      </c>
      <c r="H35" s="7"/>
      <c r="I35" s="7"/>
      <c r="J35" s="29"/>
      <c r="K35" s="29">
        <f t="shared" si="6"/>
        <v>3.1535709090909094</v>
      </c>
      <c r="L35" s="7"/>
      <c r="M35" s="29">
        <f>IF(Ondergrondscenarios[[#This Row],[Scenariotype '[-']]]="Tussenzandlaag",0,VLOOKUP($C35,DataDijkvakken[#All],4,FALSE))</f>
        <v>49.5</v>
      </c>
      <c r="N35" s="29">
        <f t="shared" si="7"/>
        <v>49.5</v>
      </c>
      <c r="O35" s="29">
        <f>VLOOKUP($C35,DataDijkvakken!$B:$G,5,FALSE)</f>
        <v>15</v>
      </c>
      <c r="P35" s="29">
        <f>VLOOKUP($C35,DataDijkvakken!$B:$G,6,FALSE)</f>
        <v>42.676767676767675</v>
      </c>
      <c r="Q35" s="29">
        <f t="shared" si="8"/>
        <v>42.676767676767675</v>
      </c>
      <c r="R35" s="7">
        <v>2112.5</v>
      </c>
      <c r="S35" s="27"/>
      <c r="T35" s="32">
        <f t="shared" si="9"/>
        <v>0</v>
      </c>
      <c r="U35" s="27"/>
      <c r="V35">
        <f t="shared" si="10"/>
        <v>180.35709090909094</v>
      </c>
      <c r="W35" s="31">
        <f t="shared" si="11"/>
        <v>617.25550183490031</v>
      </c>
      <c r="X35" s="33"/>
      <c r="Y35" t="str">
        <f>IF(Ondergrondscenarios[[#This Row],[Scenariotype '[-']]]="-","",IF(Ondergrondscenarios[[#This Row],[Scenariotype '[-']]]="Pleistoceen",VLOOKUP(Ondergrondscenarios[[#This Row],[Vaknaam '[-']]],DataDijkvakken[#All],8,FALSE),VLOOKUP(Ondergrondscenarios[[#This Row],[Vaknaam '[-']]],DataDijkvakken[#All],7,FALSE)))</f>
        <v/>
      </c>
      <c r="Z35">
        <f>VLOOKUP($C35,DataDijkvakken[#All],3,FALSE)</f>
        <v>18</v>
      </c>
      <c r="AA35" s="8"/>
    </row>
    <row r="36" spans="1:27" x14ac:dyDescent="0.3">
      <c r="A36">
        <f>IFERROR(IF(Ondergrondscenarios[[#This Row],[Scenarionaam '[-']]]="","",A35+1),1)</f>
        <v>35</v>
      </c>
      <c r="B36">
        <f>A37/6</f>
        <v>6</v>
      </c>
      <c r="C36" t="str">
        <f>VLOOKUP(Ondergrondscenarios[[#This Row],[VakID '[-']]],DataDijkvakken!A:I,2,FALSE)</f>
        <v>03a</v>
      </c>
      <c r="D36" s="8" t="str">
        <f>GenererenScenarios!$B$7</f>
        <v>P_S5</v>
      </c>
      <c r="E36" s="8" t="str">
        <f>GenererenScenarios!$C$7</f>
        <v>-</v>
      </c>
      <c r="F36" s="26">
        <v>0</v>
      </c>
      <c r="G36" s="29">
        <f>VLOOKUP($C36,DataDijkvakken!$B:$G,2,FALSE)</f>
        <v>3.1535709090909094</v>
      </c>
      <c r="H36" s="7"/>
      <c r="I36" s="7"/>
      <c r="J36" s="29"/>
      <c r="K36" s="29">
        <f t="shared" si="6"/>
        <v>3.1535709090909094</v>
      </c>
      <c r="L36" s="7"/>
      <c r="M36" s="29">
        <f>IF(Ondergrondscenarios[[#This Row],[Scenariotype '[-']]]="Tussenzandlaag",0,VLOOKUP($C36,DataDijkvakken[#All],4,FALSE))</f>
        <v>49.5</v>
      </c>
      <c r="N36" s="29">
        <f t="shared" si="7"/>
        <v>49.5</v>
      </c>
      <c r="O36" s="29">
        <f>VLOOKUP($C36,DataDijkvakken!$B:$G,5,FALSE)</f>
        <v>15</v>
      </c>
      <c r="P36" s="29">
        <f>VLOOKUP($C36,DataDijkvakken!$B:$G,6,FALSE)</f>
        <v>42.676767676767675</v>
      </c>
      <c r="Q36" s="29">
        <f t="shared" si="8"/>
        <v>42.676767676767675</v>
      </c>
      <c r="R36" s="7">
        <v>2112.5</v>
      </c>
      <c r="S36" s="27"/>
      <c r="T36" s="32">
        <f t="shared" si="9"/>
        <v>0</v>
      </c>
      <c r="U36" s="27"/>
      <c r="V36">
        <f t="shared" si="10"/>
        <v>180.35709090909094</v>
      </c>
      <c r="W36" s="31">
        <f t="shared" si="11"/>
        <v>617.25550183490031</v>
      </c>
      <c r="X36" s="33"/>
      <c r="Y36" t="str">
        <f>IF(Ondergrondscenarios[[#This Row],[Scenariotype '[-']]]="-","",IF(Ondergrondscenarios[[#This Row],[Scenariotype '[-']]]="Pleistoceen",VLOOKUP(Ondergrondscenarios[[#This Row],[Vaknaam '[-']]],DataDijkvakken[#All],8,FALSE),VLOOKUP(Ondergrondscenarios[[#This Row],[Vaknaam '[-']]],DataDijkvakken[#All],7,FALSE)))</f>
        <v/>
      </c>
      <c r="Z36">
        <f>VLOOKUP($C36,DataDijkvakken[#All],3,FALSE)</f>
        <v>18</v>
      </c>
      <c r="AA36" s="8"/>
    </row>
    <row r="37" spans="1:27" x14ac:dyDescent="0.3">
      <c r="A37">
        <f>IFERROR(IF(Ondergrondscenarios[[#This Row],[Scenarionaam '[-']]]="","",A36+1),1)</f>
        <v>36</v>
      </c>
      <c r="B37">
        <f>A37/6</f>
        <v>6</v>
      </c>
      <c r="C37" t="str">
        <f>VLOOKUP(Ondergrondscenarios[[#This Row],[VakID '[-']]],DataDijkvakken!A:I,2,FALSE)</f>
        <v>03a</v>
      </c>
      <c r="D37" s="8" t="str">
        <f>GenererenScenarios!$B$8</f>
        <v>P_S6</v>
      </c>
      <c r="E37" s="8" t="str">
        <f>GenererenScenarios!$C$8</f>
        <v>-</v>
      </c>
      <c r="F37" s="26">
        <v>0</v>
      </c>
      <c r="G37" s="29">
        <f>VLOOKUP($C37,DataDijkvakken!$B:$G,2,FALSE)</f>
        <v>3.1535709090909094</v>
      </c>
      <c r="H37" s="7"/>
      <c r="I37" s="7"/>
      <c r="J37" s="29"/>
      <c r="K37" s="29">
        <f t="shared" si="6"/>
        <v>3.1535709090909094</v>
      </c>
      <c r="L37" s="7"/>
      <c r="M37" s="29">
        <f>IF(Ondergrondscenarios[[#This Row],[Scenariotype '[-']]]="Tussenzandlaag",0,VLOOKUP($C37,DataDijkvakken[#All],4,FALSE))</f>
        <v>49.5</v>
      </c>
      <c r="N37" s="29">
        <f t="shared" si="7"/>
        <v>49.5</v>
      </c>
      <c r="O37" s="29">
        <f>VLOOKUP($C37,DataDijkvakken!$B:$G,5,FALSE)</f>
        <v>15</v>
      </c>
      <c r="P37" s="29">
        <f>VLOOKUP($C37,DataDijkvakken!$B:$G,6,FALSE)</f>
        <v>42.676767676767675</v>
      </c>
      <c r="Q37" s="29">
        <f t="shared" si="8"/>
        <v>42.676767676767675</v>
      </c>
      <c r="R37" s="7">
        <v>2112.5</v>
      </c>
      <c r="S37" s="27"/>
      <c r="T37" s="32">
        <f t="shared" si="9"/>
        <v>0</v>
      </c>
      <c r="U37" s="27"/>
      <c r="V37">
        <f t="shared" si="10"/>
        <v>180.35709090909094</v>
      </c>
      <c r="W37" s="31">
        <f t="shared" si="11"/>
        <v>617.25550183490031</v>
      </c>
      <c r="X37" s="33"/>
      <c r="Y37" t="str">
        <f>IF(Ondergrondscenarios[[#This Row],[Scenariotype '[-']]]="-","",IF(Ondergrondscenarios[[#This Row],[Scenariotype '[-']]]="Pleistoceen",VLOOKUP(Ondergrondscenarios[[#This Row],[Vaknaam '[-']]],DataDijkvakken[#All],8,FALSE),VLOOKUP(Ondergrondscenarios[[#This Row],[Vaknaam '[-']]],DataDijkvakken[#All],7,FALSE)))</f>
        <v/>
      </c>
      <c r="Z37">
        <f>VLOOKUP($C37,DataDijkvakken[#All],3,FALSE)</f>
        <v>18</v>
      </c>
      <c r="AA37" s="8"/>
    </row>
    <row r="38" spans="1:27" x14ac:dyDescent="0.3">
      <c r="A38">
        <f>IFERROR(IF(Ondergrondscenarios[[#This Row],[Scenarionaam '[-']]]="","",A37+1),1)</f>
        <v>37</v>
      </c>
      <c r="B38">
        <f>A43/6</f>
        <v>7</v>
      </c>
      <c r="C38" t="str">
        <f>VLOOKUP(Ondergrondscenarios[[#This Row],[VakID '[-']]],DataDijkvakken!A:I,2,FALSE)</f>
        <v>03b</v>
      </c>
      <c r="D38" s="8" t="str">
        <f>GenererenScenarios!$B$3</f>
        <v>P_S1_PL</v>
      </c>
      <c r="E38" s="8" t="str">
        <f>GenererenScenarios!$C$3</f>
        <v>Pleistoceen</v>
      </c>
      <c r="F38" s="26">
        <v>0.4</v>
      </c>
      <c r="G38" s="29">
        <f>VLOOKUP($C38,DataDijkvakken!$B:$G,2,FALSE)</f>
        <v>2.3170791538461541</v>
      </c>
      <c r="H38" s="7"/>
      <c r="I38" s="7"/>
      <c r="J38" s="29">
        <v>-6</v>
      </c>
      <c r="K38" s="29">
        <f t="shared" si="6"/>
        <v>8.317079153846155</v>
      </c>
      <c r="L38" s="7">
        <v>0</v>
      </c>
      <c r="M38" s="29">
        <f>IF(Ondergrondscenarios[[#This Row],[Scenariotype '[-']]]="Tussenzandlaag",0,VLOOKUP($C38,DataDijkvakken[#All],4,FALSE))</f>
        <v>49.5</v>
      </c>
      <c r="N38" s="29">
        <f t="shared" si="7"/>
        <v>49.5</v>
      </c>
      <c r="O38" s="29">
        <f>VLOOKUP($C38,DataDijkvakken!$B:$G,5,FALSE)</f>
        <v>15</v>
      </c>
      <c r="P38" s="29">
        <f>VLOOKUP($C38,DataDijkvakken!$B:$G,6,FALSE)</f>
        <v>42.676767676767675</v>
      </c>
      <c r="Q38" s="29">
        <f t="shared" si="8"/>
        <v>42.676767676767675</v>
      </c>
      <c r="R38" s="7">
        <v>2112.5</v>
      </c>
      <c r="S38" s="27"/>
      <c r="T38" s="32">
        <f t="shared" si="9"/>
        <v>0</v>
      </c>
      <c r="U38" s="27"/>
      <c r="V38">
        <f t="shared" si="10"/>
        <v>696.70791538461549</v>
      </c>
      <c r="W38" s="31">
        <f t="shared" si="11"/>
        <v>1213.1757792051405</v>
      </c>
      <c r="X38" s="33"/>
      <c r="Y38">
        <f>IF(Ondergrondscenarios[[#This Row],[Scenariotype '[-']]]="-","",IF(Ondergrondscenarios[[#This Row],[Scenariotype '[-']]]="Pleistoceen",VLOOKUP(Ondergrondscenarios[[#This Row],[Vaknaam '[-']]],DataDijkvakken[#All],8,FALSE),VLOOKUP(Ondergrondscenarios[[#This Row],[Vaknaam '[-']]],DataDijkvakken[#All],7,FALSE)))</f>
        <v>3.5000000000000005E-4</v>
      </c>
      <c r="Z38">
        <f>VLOOKUP($C38,DataDijkvakken[#All],3,FALSE)</f>
        <v>18</v>
      </c>
      <c r="AA38" s="8"/>
    </row>
    <row r="39" spans="1:27" x14ac:dyDescent="0.3">
      <c r="A39">
        <f>IFERROR(IF(Ondergrondscenarios[[#This Row],[Scenarionaam '[-']]]="","",A38+1),1)</f>
        <v>38</v>
      </c>
      <c r="B39">
        <f>A43/6</f>
        <v>7</v>
      </c>
      <c r="C39" t="str">
        <f>VLOOKUP(Ondergrondscenarios[[#This Row],[VakID '[-']]],DataDijkvakken!A:I,2,FALSE)</f>
        <v>03b</v>
      </c>
      <c r="D39" s="8" t="str">
        <f>GenererenScenarios!$B$4</f>
        <v>P_S2_HL_F</v>
      </c>
      <c r="E39" s="8" t="str">
        <f>GenererenScenarios!$C$4</f>
        <v>Holoceen</v>
      </c>
      <c r="F39" s="26">
        <v>0.5</v>
      </c>
      <c r="G39" s="29">
        <f>VLOOKUP($C39,DataDijkvakken!$B:$G,2,FALSE)</f>
        <v>2.3170791538461541</v>
      </c>
      <c r="H39" s="7"/>
      <c r="I39" s="7"/>
      <c r="J39" s="29">
        <v>-2</v>
      </c>
      <c r="K39" s="29">
        <f t="shared" si="6"/>
        <v>4.3170791538461541</v>
      </c>
      <c r="L39" s="7">
        <v>7</v>
      </c>
      <c r="M39" s="29">
        <f>IF(Ondergrondscenarios[[#This Row],[Scenariotype '[-']]]="Tussenzandlaag",0,VLOOKUP($C39,DataDijkvakken[#All],4,FALSE))</f>
        <v>49.5</v>
      </c>
      <c r="N39" s="29">
        <f t="shared" si="7"/>
        <v>56.5</v>
      </c>
      <c r="O39" s="29">
        <f>VLOOKUP($C39,DataDijkvakken!$B:$G,5,FALSE)</f>
        <v>15</v>
      </c>
      <c r="P39" s="29">
        <f>VLOOKUP($C39,DataDijkvakken!$B:$G,6,FALSE)</f>
        <v>42.676767676767675</v>
      </c>
      <c r="Q39" s="29">
        <f t="shared" si="8"/>
        <v>39.247787610619469</v>
      </c>
      <c r="R39" s="7">
        <v>2217.5</v>
      </c>
      <c r="S39" s="27"/>
      <c r="T39" s="32">
        <f t="shared" si="9"/>
        <v>0</v>
      </c>
      <c r="U39" s="27"/>
      <c r="V39">
        <f t="shared" si="10"/>
        <v>296.70791538461543</v>
      </c>
      <c r="W39" s="31">
        <f t="shared" si="11"/>
        <v>811.14104961183216</v>
      </c>
      <c r="X39" s="33"/>
      <c r="Y39">
        <f>IF(Ondergrondscenarios[[#This Row],[Scenariotype '[-']]]="-","",IF(Ondergrondscenarios[[#This Row],[Scenariotype '[-']]]="Pleistoceen",VLOOKUP(Ondergrondscenarios[[#This Row],[Vaknaam '[-']]],DataDijkvakken[#All],8,FALSE),VLOOKUP(Ondergrondscenarios[[#This Row],[Vaknaam '[-']]],DataDijkvakken[#All],7,FALSE)))</f>
        <v>2.8000000000000003E-4</v>
      </c>
      <c r="Z39">
        <f>VLOOKUP($C39,DataDijkvakken[#All],3,FALSE)</f>
        <v>18</v>
      </c>
      <c r="AA39" s="8"/>
    </row>
    <row r="40" spans="1:27" x14ac:dyDescent="0.3">
      <c r="A40">
        <f>IFERROR(IF(Ondergrondscenarios[[#This Row],[Scenarionaam '[-']]]="","",A39+1),1)</f>
        <v>39</v>
      </c>
      <c r="B40">
        <f>A43/6</f>
        <v>7</v>
      </c>
      <c r="C40" t="str">
        <f>VLOOKUP(Ondergrondscenarios[[#This Row],[VakID '[-']]],DataDijkvakken!A:I,2,FALSE)</f>
        <v>03b</v>
      </c>
      <c r="D40" s="8" t="str">
        <f>GenererenScenarios!$B$5</f>
        <v>P_S3_HL_TZ</v>
      </c>
      <c r="E40" s="8" t="str">
        <f>GenererenScenarios!$C$5</f>
        <v>Tussenzandlaag</v>
      </c>
      <c r="F40" s="26">
        <v>0.1</v>
      </c>
      <c r="G40" s="29">
        <f>VLOOKUP($C40,DataDijkvakken!$B:$G,2,FALSE)</f>
        <v>2.3170791538461541</v>
      </c>
      <c r="H40" s="7"/>
      <c r="I40" s="7"/>
      <c r="J40" s="29">
        <v>2</v>
      </c>
      <c r="K40" s="29">
        <f t="shared" si="6"/>
        <v>0.31707915384615415</v>
      </c>
      <c r="L40" s="7">
        <v>4</v>
      </c>
      <c r="M40" s="29">
        <f>IF(Ondergrondscenarios[[#This Row],[Scenariotype '[-']]]="Tussenzandlaag",0,VLOOKUP($C40,DataDijkvakken[#All],4,FALSE))</f>
        <v>0</v>
      </c>
      <c r="N40" s="29">
        <f t="shared" si="7"/>
        <v>4</v>
      </c>
      <c r="O40" s="29">
        <f>VLOOKUP($C40,DataDijkvakken!$B:$G,5,FALSE)</f>
        <v>15</v>
      </c>
      <c r="P40" s="29">
        <f>VLOOKUP($C40,DataDijkvakken!$B:$G,6,FALSE)</f>
        <v>42.676767676767675</v>
      </c>
      <c r="Q40" s="29">
        <f t="shared" si="8"/>
        <v>15</v>
      </c>
      <c r="R40" s="7">
        <v>60</v>
      </c>
      <c r="S40" s="27"/>
      <c r="T40" s="32">
        <f t="shared" si="9"/>
        <v>0</v>
      </c>
      <c r="U40" s="27"/>
      <c r="V40">
        <f t="shared" si="10"/>
        <v>3.1707915384615415</v>
      </c>
      <c r="W40" s="31">
        <f t="shared" si="11"/>
        <v>13.793023320059039</v>
      </c>
      <c r="X40" s="33"/>
      <c r="Y40">
        <f>IF(Ondergrondscenarios[[#This Row],[Scenariotype '[-']]]="-","",IF(Ondergrondscenarios[[#This Row],[Scenariotype '[-']]]="Pleistoceen",VLOOKUP(Ondergrondscenarios[[#This Row],[Vaknaam '[-']]],DataDijkvakken[#All],8,FALSE),VLOOKUP(Ondergrondscenarios[[#This Row],[Vaknaam '[-']]],DataDijkvakken[#All],7,FALSE)))</f>
        <v>2.8000000000000003E-4</v>
      </c>
      <c r="Z40">
        <f>VLOOKUP($C40,DataDijkvakken[#All],3,FALSE)</f>
        <v>18</v>
      </c>
      <c r="AA40" s="8"/>
    </row>
    <row r="41" spans="1:27" x14ac:dyDescent="0.3">
      <c r="A41">
        <f>IFERROR(IF(Ondergrondscenarios[[#This Row],[Scenarionaam '[-']]]="","",A40+1),1)</f>
        <v>40</v>
      </c>
      <c r="B41">
        <f>A43/6</f>
        <v>7</v>
      </c>
      <c r="C41" t="str">
        <f>VLOOKUP(Ondergrondscenarios[[#This Row],[VakID '[-']]],DataDijkvakken!A:I,2,FALSE)</f>
        <v>03b</v>
      </c>
      <c r="D41" s="8" t="str">
        <f>GenererenScenarios!$B$6</f>
        <v>P_S4</v>
      </c>
      <c r="E41" s="8" t="str">
        <f>GenererenScenarios!$C$6</f>
        <v>-</v>
      </c>
      <c r="F41" s="26">
        <v>0</v>
      </c>
      <c r="G41" s="29">
        <f>VLOOKUP($C41,DataDijkvakken!$B:$G,2,FALSE)</f>
        <v>2.3170791538461541</v>
      </c>
      <c r="H41" s="7"/>
      <c r="I41" s="7"/>
      <c r="J41" s="29"/>
      <c r="K41" s="29">
        <f t="shared" si="6"/>
        <v>2.3170791538461541</v>
      </c>
      <c r="L41" s="7"/>
      <c r="M41" s="29">
        <f>IF(Ondergrondscenarios[[#This Row],[Scenariotype '[-']]]="Tussenzandlaag",0,VLOOKUP($C41,DataDijkvakken[#All],4,FALSE))</f>
        <v>49.5</v>
      </c>
      <c r="N41" s="29">
        <f t="shared" si="7"/>
        <v>49.5</v>
      </c>
      <c r="O41" s="29">
        <f>VLOOKUP($C41,DataDijkvakken!$B:$G,5,FALSE)</f>
        <v>15</v>
      </c>
      <c r="P41" s="29">
        <f>VLOOKUP($C41,DataDijkvakken!$B:$G,6,FALSE)</f>
        <v>42.676767676767675</v>
      </c>
      <c r="Q41" s="29">
        <f t="shared" si="8"/>
        <v>42.676767676767675</v>
      </c>
      <c r="R41" s="7">
        <v>2112.5</v>
      </c>
      <c r="S41" s="27"/>
      <c r="T41" s="32">
        <f t="shared" si="9"/>
        <v>0</v>
      </c>
      <c r="U41" s="27"/>
      <c r="V41">
        <f t="shared" si="10"/>
        <v>96.707915384615418</v>
      </c>
      <c r="W41" s="31">
        <f t="shared" si="11"/>
        <v>451.99056544357211</v>
      </c>
      <c r="X41" s="33"/>
      <c r="Y41" t="str">
        <f>IF(Ondergrondscenarios[[#This Row],[Scenariotype '[-']]]="-","",IF(Ondergrondscenarios[[#This Row],[Scenariotype '[-']]]="Pleistoceen",VLOOKUP(Ondergrondscenarios[[#This Row],[Vaknaam '[-']]],DataDijkvakken[#All],8,FALSE),VLOOKUP(Ondergrondscenarios[[#This Row],[Vaknaam '[-']]],DataDijkvakken[#All],7,FALSE)))</f>
        <v/>
      </c>
      <c r="Z41">
        <f>VLOOKUP($C41,DataDijkvakken[#All],3,FALSE)</f>
        <v>18</v>
      </c>
      <c r="AA41" s="8"/>
    </row>
    <row r="42" spans="1:27" x14ac:dyDescent="0.3">
      <c r="A42">
        <f>IFERROR(IF(Ondergrondscenarios[[#This Row],[Scenarionaam '[-']]]="","",A41+1),1)</f>
        <v>41</v>
      </c>
      <c r="B42">
        <f>A43/6</f>
        <v>7</v>
      </c>
      <c r="C42" t="str">
        <f>VLOOKUP(Ondergrondscenarios[[#This Row],[VakID '[-']]],DataDijkvakken!A:I,2,FALSE)</f>
        <v>03b</v>
      </c>
      <c r="D42" s="8" t="str">
        <f>GenererenScenarios!$B$7</f>
        <v>P_S5</v>
      </c>
      <c r="E42" s="8" t="str">
        <f>GenererenScenarios!$C$7</f>
        <v>-</v>
      </c>
      <c r="F42" s="26">
        <v>0</v>
      </c>
      <c r="G42" s="29">
        <f>VLOOKUP($C42,DataDijkvakken!$B:$G,2,FALSE)</f>
        <v>2.3170791538461541</v>
      </c>
      <c r="H42" s="7"/>
      <c r="I42" s="7"/>
      <c r="J42" s="29"/>
      <c r="K42" s="29">
        <f t="shared" si="6"/>
        <v>2.3170791538461541</v>
      </c>
      <c r="L42" s="7"/>
      <c r="M42" s="29">
        <f>IF(Ondergrondscenarios[[#This Row],[Scenariotype '[-']]]="Tussenzandlaag",0,VLOOKUP($C42,DataDijkvakken[#All],4,FALSE))</f>
        <v>49.5</v>
      </c>
      <c r="N42" s="29">
        <f t="shared" si="7"/>
        <v>49.5</v>
      </c>
      <c r="O42" s="29">
        <f>VLOOKUP($C42,DataDijkvakken!$B:$G,5,FALSE)</f>
        <v>15</v>
      </c>
      <c r="P42" s="29">
        <f>VLOOKUP($C42,DataDijkvakken!$B:$G,6,FALSE)</f>
        <v>42.676767676767675</v>
      </c>
      <c r="Q42" s="29">
        <f t="shared" si="8"/>
        <v>42.676767676767675</v>
      </c>
      <c r="R42" s="7">
        <v>2112.5</v>
      </c>
      <c r="S42" s="27"/>
      <c r="T42" s="32">
        <f t="shared" si="9"/>
        <v>0</v>
      </c>
      <c r="U42" s="27"/>
      <c r="V42">
        <f t="shared" si="10"/>
        <v>96.707915384615418</v>
      </c>
      <c r="W42" s="31">
        <f t="shared" si="11"/>
        <v>451.99056544357211</v>
      </c>
      <c r="X42" s="33"/>
      <c r="Y42" t="str">
        <f>IF(Ondergrondscenarios[[#This Row],[Scenariotype '[-']]]="-","",IF(Ondergrondscenarios[[#This Row],[Scenariotype '[-']]]="Pleistoceen",VLOOKUP(Ondergrondscenarios[[#This Row],[Vaknaam '[-']]],DataDijkvakken[#All],8,FALSE),VLOOKUP(Ondergrondscenarios[[#This Row],[Vaknaam '[-']]],DataDijkvakken[#All],7,FALSE)))</f>
        <v/>
      </c>
      <c r="Z42">
        <f>VLOOKUP($C42,DataDijkvakken[#All],3,FALSE)</f>
        <v>18</v>
      </c>
      <c r="AA42" s="8"/>
    </row>
    <row r="43" spans="1:27" x14ac:dyDescent="0.3">
      <c r="A43">
        <f>IFERROR(IF(Ondergrondscenarios[[#This Row],[Scenarionaam '[-']]]="","",A42+1),1)</f>
        <v>42</v>
      </c>
      <c r="B43">
        <f>A43/6</f>
        <v>7</v>
      </c>
      <c r="C43" t="str">
        <f>VLOOKUP(Ondergrondscenarios[[#This Row],[VakID '[-']]],DataDijkvakken!A:I,2,FALSE)</f>
        <v>03b</v>
      </c>
      <c r="D43" s="8" t="str">
        <f>GenererenScenarios!$B$8</f>
        <v>P_S6</v>
      </c>
      <c r="E43" s="8" t="str">
        <f>GenererenScenarios!$C$8</f>
        <v>-</v>
      </c>
      <c r="F43" s="26">
        <v>0</v>
      </c>
      <c r="G43" s="29">
        <f>VLOOKUP($C43,DataDijkvakken!$B:$G,2,FALSE)</f>
        <v>2.3170791538461541</v>
      </c>
      <c r="H43" s="7"/>
      <c r="I43" s="7"/>
      <c r="J43" s="29"/>
      <c r="K43" s="29">
        <f t="shared" si="6"/>
        <v>2.3170791538461541</v>
      </c>
      <c r="L43" s="7"/>
      <c r="M43" s="29">
        <f>IF(Ondergrondscenarios[[#This Row],[Scenariotype '[-']]]="Tussenzandlaag",0,VLOOKUP($C43,DataDijkvakken[#All],4,FALSE))</f>
        <v>49.5</v>
      </c>
      <c r="N43" s="29">
        <f t="shared" si="7"/>
        <v>49.5</v>
      </c>
      <c r="O43" s="29">
        <f>VLOOKUP($C43,DataDijkvakken!$B:$G,5,FALSE)</f>
        <v>15</v>
      </c>
      <c r="P43" s="29">
        <f>VLOOKUP($C43,DataDijkvakken!$B:$G,6,FALSE)</f>
        <v>42.676767676767675</v>
      </c>
      <c r="Q43" s="29">
        <f t="shared" si="8"/>
        <v>42.676767676767675</v>
      </c>
      <c r="R43" s="7">
        <v>2112.5</v>
      </c>
      <c r="S43" s="27"/>
      <c r="T43" s="32">
        <f t="shared" si="9"/>
        <v>0</v>
      </c>
      <c r="U43" s="27"/>
      <c r="V43">
        <f t="shared" si="10"/>
        <v>96.707915384615418</v>
      </c>
      <c r="W43" s="31">
        <f t="shared" si="11"/>
        <v>451.99056544357211</v>
      </c>
      <c r="X43" s="33"/>
      <c r="Y43" t="str">
        <f>IF(Ondergrondscenarios[[#This Row],[Scenariotype '[-']]]="-","",IF(Ondergrondscenarios[[#This Row],[Scenariotype '[-']]]="Pleistoceen",VLOOKUP(Ondergrondscenarios[[#This Row],[Vaknaam '[-']]],DataDijkvakken[#All],8,FALSE),VLOOKUP(Ondergrondscenarios[[#This Row],[Vaknaam '[-']]],DataDijkvakken[#All],7,FALSE)))</f>
        <v/>
      </c>
      <c r="Z43">
        <f>VLOOKUP($C43,DataDijkvakken[#All],3,FALSE)</f>
        <v>18</v>
      </c>
      <c r="AA43" s="8"/>
    </row>
    <row r="44" spans="1:27" x14ac:dyDescent="0.3">
      <c r="A44">
        <f>IFERROR(IF(Ondergrondscenarios[[#This Row],[Scenarionaam '[-']]]="","",A43+1),1)</f>
        <v>43</v>
      </c>
      <c r="B44">
        <f>A49/6</f>
        <v>8</v>
      </c>
      <c r="C44" t="str">
        <f>VLOOKUP(Ondergrondscenarios[[#This Row],[VakID '[-']]],DataDijkvakken!A:I,2,FALSE)</f>
        <v>03c</v>
      </c>
      <c r="D44" s="8" t="str">
        <f>GenererenScenarios!$B$3</f>
        <v>P_S1_PL</v>
      </c>
      <c r="E44" s="8" t="str">
        <f>GenererenScenarios!$C$3</f>
        <v>Pleistoceen</v>
      </c>
      <c r="F44" s="26">
        <v>0.8</v>
      </c>
      <c r="G44" s="29">
        <f>VLOOKUP($C44,DataDijkvakken!$B:$G,2,FALSE)</f>
        <v>2.7845462727272725</v>
      </c>
      <c r="H44" s="7"/>
      <c r="I44" s="7"/>
      <c r="J44" s="29">
        <v>-5.5</v>
      </c>
      <c r="K44" s="29">
        <f t="shared" si="6"/>
        <v>8.2845462727272725</v>
      </c>
      <c r="L44" s="7">
        <v>0</v>
      </c>
      <c r="M44" s="29">
        <f>IF(Ondergrondscenarios[[#This Row],[Scenariotype '[-']]]="Tussenzandlaag",0,VLOOKUP($C44,DataDijkvakken[#All],4,FALSE))</f>
        <v>49.5</v>
      </c>
      <c r="N44" s="29">
        <f t="shared" si="7"/>
        <v>49.5</v>
      </c>
      <c r="O44" s="29">
        <f>VLOOKUP($C44,DataDijkvakken!$B:$G,5,FALSE)</f>
        <v>15</v>
      </c>
      <c r="P44" s="29">
        <f>VLOOKUP($C44,DataDijkvakken!$B:$G,6,FALSE)</f>
        <v>42.676767676767675</v>
      </c>
      <c r="Q44" s="29">
        <f t="shared" si="8"/>
        <v>42.676767676767675</v>
      </c>
      <c r="R44" s="7">
        <v>2112.5</v>
      </c>
      <c r="S44" s="27"/>
      <c r="T44" s="32">
        <f t="shared" si="9"/>
        <v>0</v>
      </c>
      <c r="U44" s="27"/>
      <c r="V44">
        <f t="shared" si="10"/>
        <v>693.45462727272729</v>
      </c>
      <c r="W44" s="31">
        <f t="shared" si="11"/>
        <v>1210.3399936024739</v>
      </c>
      <c r="X44" s="33"/>
      <c r="Y44">
        <f>IF(Ondergrondscenarios[[#This Row],[Scenariotype '[-']]]="-","",IF(Ondergrondscenarios[[#This Row],[Scenariotype '[-']]]="Pleistoceen",VLOOKUP(Ondergrondscenarios[[#This Row],[Vaknaam '[-']]],DataDijkvakken[#All],8,FALSE),VLOOKUP(Ondergrondscenarios[[#This Row],[Vaknaam '[-']]],DataDijkvakken[#All],7,FALSE)))</f>
        <v>3.5000000000000005E-4</v>
      </c>
      <c r="Z44">
        <f>VLOOKUP($C44,DataDijkvakken[#All],3,FALSE)</f>
        <v>18</v>
      </c>
      <c r="AA44" s="8"/>
    </row>
    <row r="45" spans="1:27" x14ac:dyDescent="0.3">
      <c r="A45">
        <f>IFERROR(IF(Ondergrondscenarios[[#This Row],[Scenarionaam '[-']]]="","",A44+1),1)</f>
        <v>44</v>
      </c>
      <c r="B45">
        <f>A49/6</f>
        <v>8</v>
      </c>
      <c r="C45" t="str">
        <f>VLOOKUP(Ondergrondscenarios[[#This Row],[VakID '[-']]],DataDijkvakken!A:I,2,FALSE)</f>
        <v>03c</v>
      </c>
      <c r="D45" s="8" t="str">
        <f>GenererenScenarios!$B$4</f>
        <v>P_S2_HL_F</v>
      </c>
      <c r="E45" s="8" t="str">
        <f>GenererenScenarios!$C$4</f>
        <v>Holoceen</v>
      </c>
      <c r="F45" s="26">
        <v>0.2</v>
      </c>
      <c r="G45" s="29">
        <f>VLOOKUP($C45,DataDijkvakken!$B:$G,2,FALSE)</f>
        <v>2.7845462727272725</v>
      </c>
      <c r="H45" s="7"/>
      <c r="I45" s="7"/>
      <c r="J45" s="29">
        <v>-2</v>
      </c>
      <c r="K45" s="29">
        <f t="shared" si="6"/>
        <v>4.7845462727272725</v>
      </c>
      <c r="L45" s="7">
        <v>4</v>
      </c>
      <c r="M45" s="29">
        <f>IF(Ondergrondscenarios[[#This Row],[Scenariotype '[-']]]="Tussenzandlaag",0,VLOOKUP($C45,DataDijkvakken[#All],4,FALSE))</f>
        <v>49.5</v>
      </c>
      <c r="N45" s="29">
        <f t="shared" si="7"/>
        <v>53.5</v>
      </c>
      <c r="O45" s="29">
        <f>VLOOKUP($C45,DataDijkvakken!$B:$G,5,FALSE)</f>
        <v>15</v>
      </c>
      <c r="P45" s="29">
        <f>VLOOKUP($C45,DataDijkvakken!$B:$G,6,FALSE)</f>
        <v>42.676767676767675</v>
      </c>
      <c r="Q45" s="29">
        <f t="shared" si="8"/>
        <v>40.607476635514018</v>
      </c>
      <c r="R45" s="7">
        <v>2172.5</v>
      </c>
      <c r="S45" s="27"/>
      <c r="T45" s="32">
        <f t="shared" si="9"/>
        <v>0</v>
      </c>
      <c r="U45" s="27"/>
      <c r="V45">
        <f t="shared" si="10"/>
        <v>343.45462727272724</v>
      </c>
      <c r="W45" s="31">
        <f t="shared" si="11"/>
        <v>863.80274238393099</v>
      </c>
      <c r="X45" s="33"/>
      <c r="Y45">
        <f>IF(Ondergrondscenarios[[#This Row],[Scenariotype '[-']]]="-","",IF(Ondergrondscenarios[[#This Row],[Scenariotype '[-']]]="Pleistoceen",VLOOKUP(Ondergrondscenarios[[#This Row],[Vaknaam '[-']]],DataDijkvakken[#All],8,FALSE),VLOOKUP(Ondergrondscenarios[[#This Row],[Vaknaam '[-']]],DataDijkvakken[#All],7,FALSE)))</f>
        <v>2.8000000000000003E-4</v>
      </c>
      <c r="Z45">
        <f>VLOOKUP($C45,DataDijkvakken[#All],3,FALSE)</f>
        <v>18</v>
      </c>
      <c r="AA45" s="8"/>
    </row>
    <row r="46" spans="1:27" x14ac:dyDescent="0.3">
      <c r="A46">
        <f>IFERROR(IF(Ondergrondscenarios[[#This Row],[Scenarionaam '[-']]]="","",A45+1),1)</f>
        <v>45</v>
      </c>
      <c r="B46">
        <f>A49/6</f>
        <v>8</v>
      </c>
      <c r="C46" t="str">
        <f>VLOOKUP(Ondergrondscenarios[[#This Row],[VakID '[-']]],DataDijkvakken!A:I,2,FALSE)</f>
        <v>03c</v>
      </c>
      <c r="D46" s="8" t="str">
        <f>GenererenScenarios!$B$5</f>
        <v>P_S3_HL_TZ</v>
      </c>
      <c r="E46" s="8" t="str">
        <f>GenererenScenarios!$C$5</f>
        <v>Tussenzandlaag</v>
      </c>
      <c r="F46" s="26">
        <v>0</v>
      </c>
      <c r="G46" s="29">
        <f>VLOOKUP($C46,DataDijkvakken!$B:$G,2,FALSE)</f>
        <v>2.7845462727272725</v>
      </c>
      <c r="H46" s="7"/>
      <c r="I46" s="7"/>
      <c r="J46" s="29"/>
      <c r="K46" s="29">
        <f t="shared" si="6"/>
        <v>2.7845462727272725</v>
      </c>
      <c r="L46" s="7"/>
      <c r="M46" s="29">
        <f>IF(Ondergrondscenarios[[#This Row],[Scenariotype '[-']]]="Tussenzandlaag",0,VLOOKUP($C46,DataDijkvakken[#All],4,FALSE))</f>
        <v>0</v>
      </c>
      <c r="N46" s="29">
        <f t="shared" si="7"/>
        <v>0.1</v>
      </c>
      <c r="O46" s="29">
        <f>VLOOKUP($C46,DataDijkvakken!$B:$G,5,FALSE)</f>
        <v>15</v>
      </c>
      <c r="P46" s="29">
        <f>VLOOKUP($C46,DataDijkvakken!$B:$G,6,FALSE)</f>
        <v>42.676767676767675</v>
      </c>
      <c r="Q46" s="29">
        <f t="shared" si="8"/>
        <v>0.1</v>
      </c>
      <c r="R46" s="7">
        <v>1.0000000000000002E-2</v>
      </c>
      <c r="S46" s="27"/>
      <c r="T46" s="32">
        <f t="shared" si="9"/>
        <v>0</v>
      </c>
      <c r="U46" s="27"/>
      <c r="V46">
        <f t="shared" si="10"/>
        <v>143.45462727272724</v>
      </c>
      <c r="W46" s="31">
        <f t="shared" si="11"/>
        <v>1.1977254579941401</v>
      </c>
      <c r="X46" s="33"/>
      <c r="Y46">
        <f>IF(Ondergrondscenarios[[#This Row],[Scenariotype '[-']]]="-","",IF(Ondergrondscenarios[[#This Row],[Scenariotype '[-']]]="Pleistoceen",VLOOKUP(Ondergrondscenarios[[#This Row],[Vaknaam '[-']]],DataDijkvakken[#All],8,FALSE),VLOOKUP(Ondergrondscenarios[[#This Row],[Vaknaam '[-']]],DataDijkvakken[#All],7,FALSE)))</f>
        <v>2.8000000000000003E-4</v>
      </c>
      <c r="Z46">
        <f>VLOOKUP($C46,DataDijkvakken[#All],3,FALSE)</f>
        <v>18</v>
      </c>
      <c r="AA46" s="8"/>
    </row>
    <row r="47" spans="1:27" x14ac:dyDescent="0.3">
      <c r="A47">
        <f>IFERROR(IF(Ondergrondscenarios[[#This Row],[Scenarionaam '[-']]]="","",A46+1),1)</f>
        <v>46</v>
      </c>
      <c r="B47">
        <f>A49/6</f>
        <v>8</v>
      </c>
      <c r="C47" t="str">
        <f>VLOOKUP(Ondergrondscenarios[[#This Row],[VakID '[-']]],DataDijkvakken!A:I,2,FALSE)</f>
        <v>03c</v>
      </c>
      <c r="D47" s="8" t="str">
        <f>GenererenScenarios!$B$6</f>
        <v>P_S4</v>
      </c>
      <c r="E47" s="8" t="str">
        <f>GenererenScenarios!$C$6</f>
        <v>-</v>
      </c>
      <c r="F47" s="26">
        <v>0</v>
      </c>
      <c r="G47" s="29">
        <f>VLOOKUP($C47,DataDijkvakken!$B:$G,2,FALSE)</f>
        <v>2.7845462727272725</v>
      </c>
      <c r="H47" s="7"/>
      <c r="I47" s="7"/>
      <c r="J47" s="29"/>
      <c r="K47" s="29">
        <f t="shared" si="6"/>
        <v>2.7845462727272725</v>
      </c>
      <c r="L47" s="7"/>
      <c r="M47" s="29">
        <f>IF(Ondergrondscenarios[[#This Row],[Scenariotype '[-']]]="Tussenzandlaag",0,VLOOKUP($C47,DataDijkvakken[#All],4,FALSE))</f>
        <v>49.5</v>
      </c>
      <c r="N47" s="29">
        <f t="shared" si="7"/>
        <v>49.5</v>
      </c>
      <c r="O47" s="29">
        <f>VLOOKUP($C47,DataDijkvakken!$B:$G,5,FALSE)</f>
        <v>15</v>
      </c>
      <c r="P47" s="29">
        <f>VLOOKUP($C47,DataDijkvakken!$B:$G,6,FALSE)</f>
        <v>42.676767676767675</v>
      </c>
      <c r="Q47" s="29">
        <f t="shared" si="8"/>
        <v>42.676767676767675</v>
      </c>
      <c r="R47" s="7">
        <v>2112.5</v>
      </c>
      <c r="S47" s="27"/>
      <c r="T47" s="32">
        <f t="shared" si="9"/>
        <v>0</v>
      </c>
      <c r="U47" s="27"/>
      <c r="V47">
        <f t="shared" si="10"/>
        <v>143.45462727272724</v>
      </c>
      <c r="W47" s="31">
        <f t="shared" si="11"/>
        <v>550.49786567582282</v>
      </c>
      <c r="X47" s="33"/>
      <c r="Y47" t="str">
        <f>IF(Ondergrondscenarios[[#This Row],[Scenariotype '[-']]]="-","",IF(Ondergrondscenarios[[#This Row],[Scenariotype '[-']]]="Pleistoceen",VLOOKUP(Ondergrondscenarios[[#This Row],[Vaknaam '[-']]],DataDijkvakken[#All],8,FALSE),VLOOKUP(Ondergrondscenarios[[#This Row],[Vaknaam '[-']]],DataDijkvakken[#All],7,FALSE)))</f>
        <v/>
      </c>
      <c r="Z47">
        <f>VLOOKUP($C47,DataDijkvakken[#All],3,FALSE)</f>
        <v>18</v>
      </c>
      <c r="AA47" s="8"/>
    </row>
    <row r="48" spans="1:27" x14ac:dyDescent="0.3">
      <c r="A48">
        <f>IFERROR(IF(Ondergrondscenarios[[#This Row],[Scenarionaam '[-']]]="","",A47+1),1)</f>
        <v>47</v>
      </c>
      <c r="B48">
        <f>A49/6</f>
        <v>8</v>
      </c>
      <c r="C48" t="str">
        <f>VLOOKUP(Ondergrondscenarios[[#This Row],[VakID '[-']]],DataDijkvakken!A:I,2,FALSE)</f>
        <v>03c</v>
      </c>
      <c r="D48" s="8" t="str">
        <f>GenererenScenarios!$B$7</f>
        <v>P_S5</v>
      </c>
      <c r="E48" s="8" t="str">
        <f>GenererenScenarios!$C$7</f>
        <v>-</v>
      </c>
      <c r="F48" s="26">
        <v>0</v>
      </c>
      <c r="G48" s="29">
        <f>VLOOKUP($C48,DataDijkvakken!$B:$G,2,FALSE)</f>
        <v>2.7845462727272725</v>
      </c>
      <c r="H48" s="7"/>
      <c r="I48" s="7"/>
      <c r="J48" s="29"/>
      <c r="K48" s="29">
        <f t="shared" si="6"/>
        <v>2.7845462727272725</v>
      </c>
      <c r="L48" s="7"/>
      <c r="M48" s="29">
        <f>IF(Ondergrondscenarios[[#This Row],[Scenariotype '[-']]]="Tussenzandlaag",0,VLOOKUP($C48,DataDijkvakken[#All],4,FALSE))</f>
        <v>49.5</v>
      </c>
      <c r="N48" s="29">
        <f t="shared" si="7"/>
        <v>49.5</v>
      </c>
      <c r="O48" s="29">
        <f>VLOOKUP($C48,DataDijkvakken!$B:$G,5,FALSE)</f>
        <v>15</v>
      </c>
      <c r="P48" s="29">
        <f>VLOOKUP($C48,DataDijkvakken!$B:$G,6,FALSE)</f>
        <v>42.676767676767675</v>
      </c>
      <c r="Q48" s="29">
        <f t="shared" si="8"/>
        <v>42.676767676767675</v>
      </c>
      <c r="R48" s="7">
        <v>2112.5</v>
      </c>
      <c r="S48" s="27"/>
      <c r="T48" s="32">
        <f t="shared" si="9"/>
        <v>0</v>
      </c>
      <c r="U48" s="27"/>
      <c r="V48">
        <f t="shared" si="10"/>
        <v>143.45462727272724</v>
      </c>
      <c r="W48" s="31">
        <f t="shared" si="11"/>
        <v>550.49786567582282</v>
      </c>
      <c r="X48" s="33"/>
      <c r="Y48" t="str">
        <f>IF(Ondergrondscenarios[[#This Row],[Scenariotype '[-']]]="-","",IF(Ondergrondscenarios[[#This Row],[Scenariotype '[-']]]="Pleistoceen",VLOOKUP(Ondergrondscenarios[[#This Row],[Vaknaam '[-']]],DataDijkvakken[#All],8,FALSE),VLOOKUP(Ondergrondscenarios[[#This Row],[Vaknaam '[-']]],DataDijkvakken[#All],7,FALSE)))</f>
        <v/>
      </c>
      <c r="Z48">
        <f>VLOOKUP($C48,DataDijkvakken[#All],3,FALSE)</f>
        <v>18</v>
      </c>
      <c r="AA48" s="8"/>
    </row>
    <row r="49" spans="1:27" x14ac:dyDescent="0.3">
      <c r="A49">
        <f>IFERROR(IF(Ondergrondscenarios[[#This Row],[Scenarionaam '[-']]]="","",A48+1),1)</f>
        <v>48</v>
      </c>
      <c r="B49">
        <f>A49/6</f>
        <v>8</v>
      </c>
      <c r="C49" t="str">
        <f>VLOOKUP(Ondergrondscenarios[[#This Row],[VakID '[-']]],DataDijkvakken!A:I,2,FALSE)</f>
        <v>03c</v>
      </c>
      <c r="D49" s="8" t="str">
        <f>GenererenScenarios!$B$8</f>
        <v>P_S6</v>
      </c>
      <c r="E49" s="8" t="str">
        <f>GenererenScenarios!$C$8</f>
        <v>-</v>
      </c>
      <c r="F49" s="26">
        <v>0</v>
      </c>
      <c r="G49" s="29">
        <f>VLOOKUP($C49,DataDijkvakken!$B:$G,2,FALSE)</f>
        <v>2.7845462727272725</v>
      </c>
      <c r="H49" s="7"/>
      <c r="I49" s="7"/>
      <c r="J49" s="29"/>
      <c r="K49" s="29">
        <f t="shared" si="6"/>
        <v>2.7845462727272725</v>
      </c>
      <c r="L49" s="7"/>
      <c r="M49" s="29">
        <f>IF(Ondergrondscenarios[[#This Row],[Scenariotype '[-']]]="Tussenzandlaag",0,VLOOKUP($C49,DataDijkvakken[#All],4,FALSE))</f>
        <v>49.5</v>
      </c>
      <c r="N49" s="29">
        <f t="shared" si="7"/>
        <v>49.5</v>
      </c>
      <c r="O49" s="29">
        <f>VLOOKUP($C49,DataDijkvakken!$B:$G,5,FALSE)</f>
        <v>15</v>
      </c>
      <c r="P49" s="29">
        <f>VLOOKUP($C49,DataDijkvakken!$B:$G,6,FALSE)</f>
        <v>42.676767676767675</v>
      </c>
      <c r="Q49" s="29">
        <f t="shared" si="8"/>
        <v>42.676767676767675</v>
      </c>
      <c r="R49" s="7">
        <v>2112.5</v>
      </c>
      <c r="S49" s="27"/>
      <c r="T49" s="32">
        <f t="shared" si="9"/>
        <v>0</v>
      </c>
      <c r="U49" s="27"/>
      <c r="V49">
        <f t="shared" si="10"/>
        <v>143.45462727272724</v>
      </c>
      <c r="W49" s="31">
        <f t="shared" si="11"/>
        <v>550.49786567582282</v>
      </c>
      <c r="X49" s="33"/>
      <c r="Y49" t="str">
        <f>IF(Ondergrondscenarios[[#This Row],[Scenariotype '[-']]]="-","",IF(Ondergrondscenarios[[#This Row],[Scenariotype '[-']]]="Pleistoceen",VLOOKUP(Ondergrondscenarios[[#This Row],[Vaknaam '[-']]],DataDijkvakken[#All],8,FALSE),VLOOKUP(Ondergrondscenarios[[#This Row],[Vaknaam '[-']]],DataDijkvakken[#All],7,FALSE)))</f>
        <v/>
      </c>
      <c r="Z49">
        <f>VLOOKUP($C49,DataDijkvakken[#All],3,FALSE)</f>
        <v>18</v>
      </c>
      <c r="AA49" s="8"/>
    </row>
    <row r="50" spans="1:27" x14ac:dyDescent="0.3">
      <c r="A50">
        <f>IFERROR(IF(Ondergrondscenarios[[#This Row],[Scenarionaam '[-']]]="","",A49+1),1)</f>
        <v>49</v>
      </c>
      <c r="B50">
        <f>A55/6</f>
        <v>9</v>
      </c>
      <c r="C50" t="str">
        <f>VLOOKUP(Ondergrondscenarios[[#This Row],[VakID '[-']]],DataDijkvakken!A:I,2,FALSE)</f>
        <v>03d</v>
      </c>
      <c r="D50" s="8" t="str">
        <f>GenererenScenarios!$B$3</f>
        <v>P_S1_PL</v>
      </c>
      <c r="E50" s="8" t="str">
        <f>GenererenScenarios!$C$3</f>
        <v>Pleistoceen</v>
      </c>
      <c r="F50" s="26">
        <v>0.9</v>
      </c>
      <c r="G50" s="29">
        <f>VLOOKUP($C50,DataDijkvakken!$B:$G,2,FALSE)</f>
        <v>3.5873949999999999</v>
      </c>
      <c r="H50" s="7"/>
      <c r="I50" s="7"/>
      <c r="J50" s="29">
        <v>-4.4000000000000004</v>
      </c>
      <c r="K50" s="29">
        <f t="shared" si="6"/>
        <v>7.9873950000000002</v>
      </c>
      <c r="L50" s="7">
        <v>0</v>
      </c>
      <c r="M50" s="29">
        <f>IF(Ondergrondscenarios[[#This Row],[Scenariotype '[-']]]="Tussenzandlaag",0,VLOOKUP($C50,DataDijkvakken[#All],4,FALSE))</f>
        <v>49.5</v>
      </c>
      <c r="N50" s="29">
        <f t="shared" si="7"/>
        <v>49.5</v>
      </c>
      <c r="O50" s="29">
        <f>VLOOKUP($C50,DataDijkvakken!$B:$G,5,FALSE)</f>
        <v>15</v>
      </c>
      <c r="P50" s="29">
        <f>VLOOKUP($C50,DataDijkvakken!$B:$G,6,FALSE)</f>
        <v>42.676767676767675</v>
      </c>
      <c r="Q50" s="29">
        <f t="shared" si="8"/>
        <v>42.676767676767675</v>
      </c>
      <c r="R50" s="7">
        <v>2112.5</v>
      </c>
      <c r="S50" s="27"/>
      <c r="T50" s="32">
        <f t="shared" si="9"/>
        <v>0</v>
      </c>
      <c r="U50" s="27"/>
      <c r="V50">
        <f t="shared" si="10"/>
        <v>663.73950000000002</v>
      </c>
      <c r="W50" s="31">
        <f t="shared" si="11"/>
        <v>1184.124019581564</v>
      </c>
      <c r="X50" s="33"/>
      <c r="Y50">
        <f>IF(Ondergrondscenarios[[#This Row],[Scenariotype '[-']]]="-","",IF(Ondergrondscenarios[[#This Row],[Scenariotype '[-']]]="Pleistoceen",VLOOKUP(Ondergrondscenarios[[#This Row],[Vaknaam '[-']]],DataDijkvakken[#All],8,FALSE),VLOOKUP(Ondergrondscenarios[[#This Row],[Vaknaam '[-']]],DataDijkvakken[#All],7,FALSE)))</f>
        <v>3.5000000000000005E-4</v>
      </c>
      <c r="Z50">
        <f>VLOOKUP($C50,DataDijkvakken[#All],3,FALSE)</f>
        <v>18</v>
      </c>
      <c r="AA50" s="8"/>
    </row>
    <row r="51" spans="1:27" x14ac:dyDescent="0.3">
      <c r="A51">
        <f>IFERROR(IF(Ondergrondscenarios[[#This Row],[Scenarionaam '[-']]]="","",A50+1),1)</f>
        <v>50</v>
      </c>
      <c r="B51">
        <f>A55/6</f>
        <v>9</v>
      </c>
      <c r="C51" t="str">
        <f>VLOOKUP(Ondergrondscenarios[[#This Row],[VakID '[-']]],DataDijkvakken!A:I,2,FALSE)</f>
        <v>03d</v>
      </c>
      <c r="D51" s="8" t="str">
        <f>GenererenScenarios!$B$4</f>
        <v>P_S2_HL_F</v>
      </c>
      <c r="E51" s="8" t="str">
        <f>GenererenScenarios!$C$4</f>
        <v>Holoceen</v>
      </c>
      <c r="F51" s="26">
        <v>0.1</v>
      </c>
      <c r="G51" s="29">
        <f>VLOOKUP($C51,DataDijkvakken!$B:$G,2,FALSE)</f>
        <v>3.5873949999999999</v>
      </c>
      <c r="H51" s="7"/>
      <c r="I51" s="7"/>
      <c r="J51" s="29">
        <v>1</v>
      </c>
      <c r="K51" s="29">
        <f t="shared" si="6"/>
        <v>2.5873949999999999</v>
      </c>
      <c r="L51" s="7">
        <v>5</v>
      </c>
      <c r="M51" s="29">
        <f>IF(Ondergrondscenarios[[#This Row],[Scenariotype '[-']]]="Tussenzandlaag",0,VLOOKUP($C51,DataDijkvakken[#All],4,FALSE))</f>
        <v>49.5</v>
      </c>
      <c r="N51" s="29">
        <f t="shared" si="7"/>
        <v>54.5</v>
      </c>
      <c r="O51" s="29">
        <f>VLOOKUP($C51,DataDijkvakken!$B:$G,5,FALSE)</f>
        <v>15</v>
      </c>
      <c r="P51" s="29">
        <f>VLOOKUP($C51,DataDijkvakken!$B:$G,6,FALSE)</f>
        <v>42.676767676767675</v>
      </c>
      <c r="Q51" s="29">
        <f t="shared" si="8"/>
        <v>40.137614678899084</v>
      </c>
      <c r="R51" s="7">
        <v>2187.5</v>
      </c>
      <c r="S51" s="27"/>
      <c r="T51" s="32">
        <f t="shared" si="9"/>
        <v>0</v>
      </c>
      <c r="U51" s="27"/>
      <c r="V51">
        <f t="shared" si="10"/>
        <v>123.73949999999999</v>
      </c>
      <c r="W51" s="31">
        <f t="shared" si="11"/>
        <v>520.26931127061493</v>
      </c>
      <c r="X51" s="33"/>
      <c r="Y51">
        <f>IF(Ondergrondscenarios[[#This Row],[Scenariotype '[-']]]="-","",IF(Ondergrondscenarios[[#This Row],[Scenariotype '[-']]]="Pleistoceen",VLOOKUP(Ondergrondscenarios[[#This Row],[Vaknaam '[-']]],DataDijkvakken[#All],8,FALSE),VLOOKUP(Ondergrondscenarios[[#This Row],[Vaknaam '[-']]],DataDijkvakken[#All],7,FALSE)))</f>
        <v>2.8000000000000003E-4</v>
      </c>
      <c r="Z51">
        <f>VLOOKUP($C51,DataDijkvakken[#All],3,FALSE)</f>
        <v>18</v>
      </c>
      <c r="AA51" s="8"/>
    </row>
    <row r="52" spans="1:27" x14ac:dyDescent="0.3">
      <c r="A52">
        <f>IFERROR(IF(Ondergrondscenarios[[#This Row],[Scenarionaam '[-']]]="","",A51+1),1)</f>
        <v>51</v>
      </c>
      <c r="B52">
        <f>A55/6</f>
        <v>9</v>
      </c>
      <c r="C52" t="str">
        <f>VLOOKUP(Ondergrondscenarios[[#This Row],[VakID '[-']]],DataDijkvakken!A:I,2,FALSE)</f>
        <v>03d</v>
      </c>
      <c r="D52" s="8" t="str">
        <f>GenererenScenarios!$B$5</f>
        <v>P_S3_HL_TZ</v>
      </c>
      <c r="E52" s="8" t="str">
        <f>GenererenScenarios!$C$5</f>
        <v>Tussenzandlaag</v>
      </c>
      <c r="F52" s="26">
        <v>0</v>
      </c>
      <c r="G52" s="29">
        <f>VLOOKUP($C52,DataDijkvakken!$B:$G,2,FALSE)</f>
        <v>3.5873949999999999</v>
      </c>
      <c r="H52" s="7"/>
      <c r="I52" s="7"/>
      <c r="J52" s="29"/>
      <c r="K52" s="29">
        <f t="shared" si="6"/>
        <v>3.5873949999999999</v>
      </c>
      <c r="L52" s="7"/>
      <c r="M52" s="29">
        <f>IF(Ondergrondscenarios[[#This Row],[Scenariotype '[-']]]="Tussenzandlaag",0,VLOOKUP($C52,DataDijkvakken[#All],4,FALSE))</f>
        <v>0</v>
      </c>
      <c r="N52" s="29">
        <f t="shared" si="7"/>
        <v>0.1</v>
      </c>
      <c r="O52" s="29">
        <f>VLOOKUP($C52,DataDijkvakken!$B:$G,5,FALSE)</f>
        <v>15</v>
      </c>
      <c r="P52" s="29">
        <f>VLOOKUP($C52,DataDijkvakken!$B:$G,6,FALSE)</f>
        <v>42.676767676767675</v>
      </c>
      <c r="Q52" s="29">
        <f t="shared" si="8"/>
        <v>0.1</v>
      </c>
      <c r="R52" s="7">
        <v>1.0000000000000002E-2</v>
      </c>
      <c r="S52" s="27"/>
      <c r="T52" s="32">
        <f t="shared" si="9"/>
        <v>0</v>
      </c>
      <c r="U52" s="27"/>
      <c r="V52">
        <f t="shared" si="10"/>
        <v>223.73949999999999</v>
      </c>
      <c r="W52" s="31">
        <f t="shared" si="11"/>
        <v>1.4957924321241902</v>
      </c>
      <c r="X52" s="33"/>
      <c r="Y52">
        <f>IF(Ondergrondscenarios[[#This Row],[Scenariotype '[-']]]="-","",IF(Ondergrondscenarios[[#This Row],[Scenariotype '[-']]]="Pleistoceen",VLOOKUP(Ondergrondscenarios[[#This Row],[Vaknaam '[-']]],DataDijkvakken[#All],8,FALSE),VLOOKUP(Ondergrondscenarios[[#This Row],[Vaknaam '[-']]],DataDijkvakken[#All],7,FALSE)))</f>
        <v>2.8000000000000003E-4</v>
      </c>
      <c r="Z52">
        <f>VLOOKUP($C52,DataDijkvakken[#All],3,FALSE)</f>
        <v>18</v>
      </c>
      <c r="AA52" s="8"/>
    </row>
    <row r="53" spans="1:27" x14ac:dyDescent="0.3">
      <c r="A53">
        <f>IFERROR(IF(Ondergrondscenarios[[#This Row],[Scenarionaam '[-']]]="","",A52+1),1)</f>
        <v>52</v>
      </c>
      <c r="B53">
        <f>A55/6</f>
        <v>9</v>
      </c>
      <c r="C53" t="str">
        <f>VLOOKUP(Ondergrondscenarios[[#This Row],[VakID '[-']]],DataDijkvakken!A:I,2,FALSE)</f>
        <v>03d</v>
      </c>
      <c r="D53" s="8" t="str">
        <f>GenererenScenarios!$B$6</f>
        <v>P_S4</v>
      </c>
      <c r="E53" s="8" t="str">
        <f>GenererenScenarios!$C$6</f>
        <v>-</v>
      </c>
      <c r="F53" s="26">
        <v>0</v>
      </c>
      <c r="G53" s="29">
        <f>VLOOKUP($C53,DataDijkvakken!$B:$G,2,FALSE)</f>
        <v>3.5873949999999999</v>
      </c>
      <c r="H53" s="7"/>
      <c r="I53" s="7"/>
      <c r="J53" s="29"/>
      <c r="K53" s="29">
        <f t="shared" si="6"/>
        <v>3.5873949999999999</v>
      </c>
      <c r="L53" s="7"/>
      <c r="M53" s="29">
        <f>IF(Ondergrondscenarios[[#This Row],[Scenariotype '[-']]]="Tussenzandlaag",0,VLOOKUP($C53,DataDijkvakken[#All],4,FALSE))</f>
        <v>49.5</v>
      </c>
      <c r="N53" s="29">
        <f t="shared" si="7"/>
        <v>49.5</v>
      </c>
      <c r="O53" s="29">
        <f>VLOOKUP($C53,DataDijkvakken!$B:$G,5,FALSE)</f>
        <v>15</v>
      </c>
      <c r="P53" s="29">
        <f>VLOOKUP($C53,DataDijkvakken!$B:$G,6,FALSE)</f>
        <v>42.676767676767675</v>
      </c>
      <c r="Q53" s="29">
        <f t="shared" si="8"/>
        <v>42.676767676767675</v>
      </c>
      <c r="R53" s="7">
        <v>2112.5</v>
      </c>
      <c r="S53" s="27"/>
      <c r="T53" s="32">
        <f t="shared" si="9"/>
        <v>0</v>
      </c>
      <c r="U53" s="27"/>
      <c r="V53">
        <f t="shared" si="10"/>
        <v>223.73949999999999</v>
      </c>
      <c r="W53" s="31">
        <f t="shared" si="11"/>
        <v>687.4952318016467</v>
      </c>
      <c r="X53" s="33"/>
      <c r="Y53" t="str">
        <f>IF(Ondergrondscenarios[[#This Row],[Scenariotype '[-']]]="-","",IF(Ondergrondscenarios[[#This Row],[Scenariotype '[-']]]="Pleistoceen",VLOOKUP(Ondergrondscenarios[[#This Row],[Vaknaam '[-']]],DataDijkvakken[#All],8,FALSE),VLOOKUP(Ondergrondscenarios[[#This Row],[Vaknaam '[-']]],DataDijkvakken[#All],7,FALSE)))</f>
        <v/>
      </c>
      <c r="Z53">
        <f>VLOOKUP($C53,DataDijkvakken[#All],3,FALSE)</f>
        <v>18</v>
      </c>
      <c r="AA53" s="8"/>
    </row>
    <row r="54" spans="1:27" x14ac:dyDescent="0.3">
      <c r="A54">
        <f>IFERROR(IF(Ondergrondscenarios[[#This Row],[Scenarionaam '[-']]]="","",A53+1),1)</f>
        <v>53</v>
      </c>
      <c r="B54">
        <f>A55/6</f>
        <v>9</v>
      </c>
      <c r="C54" t="str">
        <f>VLOOKUP(Ondergrondscenarios[[#This Row],[VakID '[-']]],DataDijkvakken!A:I,2,FALSE)</f>
        <v>03d</v>
      </c>
      <c r="D54" s="8" t="str">
        <f>GenererenScenarios!$B$7</f>
        <v>P_S5</v>
      </c>
      <c r="E54" s="8" t="str">
        <f>GenererenScenarios!$C$7</f>
        <v>-</v>
      </c>
      <c r="F54" s="26">
        <v>0</v>
      </c>
      <c r="G54" s="29">
        <f>VLOOKUP($C54,DataDijkvakken!$B:$G,2,FALSE)</f>
        <v>3.5873949999999999</v>
      </c>
      <c r="H54" s="7"/>
      <c r="I54" s="7"/>
      <c r="J54" s="29"/>
      <c r="K54" s="29">
        <f t="shared" si="6"/>
        <v>3.5873949999999999</v>
      </c>
      <c r="L54" s="7"/>
      <c r="M54" s="29">
        <f>IF(Ondergrondscenarios[[#This Row],[Scenariotype '[-']]]="Tussenzandlaag",0,VLOOKUP($C54,DataDijkvakken[#All],4,FALSE))</f>
        <v>49.5</v>
      </c>
      <c r="N54" s="29">
        <f t="shared" si="7"/>
        <v>49.5</v>
      </c>
      <c r="O54" s="29">
        <f>VLOOKUP($C54,DataDijkvakken!$B:$G,5,FALSE)</f>
        <v>15</v>
      </c>
      <c r="P54" s="29">
        <f>VLOOKUP($C54,DataDijkvakken!$B:$G,6,FALSE)</f>
        <v>42.676767676767675</v>
      </c>
      <c r="Q54" s="29">
        <f t="shared" si="8"/>
        <v>42.676767676767675</v>
      </c>
      <c r="R54" s="7">
        <v>2112.5</v>
      </c>
      <c r="S54" s="27"/>
      <c r="T54" s="32">
        <f t="shared" si="9"/>
        <v>0</v>
      </c>
      <c r="U54" s="27"/>
      <c r="V54">
        <f t="shared" si="10"/>
        <v>223.73949999999999</v>
      </c>
      <c r="W54" s="31">
        <f t="shared" si="11"/>
        <v>687.4952318016467</v>
      </c>
      <c r="X54" s="33"/>
      <c r="Y54" t="str">
        <f>IF(Ondergrondscenarios[[#This Row],[Scenariotype '[-']]]="-","",IF(Ondergrondscenarios[[#This Row],[Scenariotype '[-']]]="Pleistoceen",VLOOKUP(Ondergrondscenarios[[#This Row],[Vaknaam '[-']]],DataDijkvakken[#All],8,FALSE),VLOOKUP(Ondergrondscenarios[[#This Row],[Vaknaam '[-']]],DataDijkvakken[#All],7,FALSE)))</f>
        <v/>
      </c>
      <c r="Z54">
        <f>VLOOKUP($C54,DataDijkvakken[#All],3,FALSE)</f>
        <v>18</v>
      </c>
      <c r="AA54" s="8"/>
    </row>
    <row r="55" spans="1:27" x14ac:dyDescent="0.3">
      <c r="A55">
        <f>IFERROR(IF(Ondergrondscenarios[[#This Row],[Scenarionaam '[-']]]="","",A54+1),1)</f>
        <v>54</v>
      </c>
      <c r="B55">
        <f>A55/6</f>
        <v>9</v>
      </c>
      <c r="C55" t="str">
        <f>VLOOKUP(Ondergrondscenarios[[#This Row],[VakID '[-']]],DataDijkvakken!A:I,2,FALSE)</f>
        <v>03d</v>
      </c>
      <c r="D55" s="8" t="str">
        <f>GenererenScenarios!$B$8</f>
        <v>P_S6</v>
      </c>
      <c r="E55" s="8" t="str">
        <f>GenererenScenarios!$C$8</f>
        <v>-</v>
      </c>
      <c r="F55" s="26">
        <v>0</v>
      </c>
      <c r="G55" s="29">
        <f>VLOOKUP($C55,DataDijkvakken!$B:$G,2,FALSE)</f>
        <v>3.5873949999999999</v>
      </c>
      <c r="H55" s="7"/>
      <c r="I55" s="7"/>
      <c r="J55" s="29"/>
      <c r="K55" s="29">
        <f t="shared" si="6"/>
        <v>3.5873949999999999</v>
      </c>
      <c r="L55" s="7"/>
      <c r="M55" s="29">
        <f>IF(Ondergrondscenarios[[#This Row],[Scenariotype '[-']]]="Tussenzandlaag",0,VLOOKUP($C55,DataDijkvakken[#All],4,FALSE))</f>
        <v>49.5</v>
      </c>
      <c r="N55" s="29">
        <f t="shared" si="7"/>
        <v>49.5</v>
      </c>
      <c r="O55" s="29">
        <f>VLOOKUP($C55,DataDijkvakken!$B:$G,5,FALSE)</f>
        <v>15</v>
      </c>
      <c r="P55" s="29">
        <f>VLOOKUP($C55,DataDijkvakken!$B:$G,6,FALSE)</f>
        <v>42.676767676767675</v>
      </c>
      <c r="Q55" s="29">
        <f t="shared" si="8"/>
        <v>42.676767676767675</v>
      </c>
      <c r="R55" s="7">
        <v>2112.5</v>
      </c>
      <c r="S55" s="27"/>
      <c r="T55" s="32">
        <f t="shared" si="9"/>
        <v>0</v>
      </c>
      <c r="U55" s="27"/>
      <c r="V55">
        <f t="shared" si="10"/>
        <v>223.73949999999999</v>
      </c>
      <c r="W55" s="31">
        <f t="shared" si="11"/>
        <v>687.4952318016467</v>
      </c>
      <c r="X55" s="33"/>
      <c r="Y55" t="str">
        <f>IF(Ondergrondscenarios[[#This Row],[Scenariotype '[-']]]="-","",IF(Ondergrondscenarios[[#This Row],[Scenariotype '[-']]]="Pleistoceen",VLOOKUP(Ondergrondscenarios[[#This Row],[Vaknaam '[-']]],DataDijkvakken[#All],8,FALSE),VLOOKUP(Ondergrondscenarios[[#This Row],[Vaknaam '[-']]],DataDijkvakken[#All],7,FALSE)))</f>
        <v/>
      </c>
      <c r="Z55">
        <f>VLOOKUP($C55,DataDijkvakken[#All],3,FALSE)</f>
        <v>18</v>
      </c>
      <c r="AA55" s="8"/>
    </row>
    <row r="56" spans="1:27" x14ac:dyDescent="0.3">
      <c r="A56">
        <f>IFERROR(IF(Ondergrondscenarios[[#This Row],[Scenarionaam '[-']]]="","",A55+1),1)</f>
        <v>55</v>
      </c>
      <c r="B56">
        <f>A61/6</f>
        <v>10</v>
      </c>
      <c r="C56" t="str">
        <f>VLOOKUP(Ondergrondscenarios[[#This Row],[VakID '[-']]],DataDijkvakken!A:I,2,FALSE)</f>
        <v>04a</v>
      </c>
      <c r="D56" s="8" t="str">
        <f>GenererenScenarios!$B$3</f>
        <v>P_S1_PL</v>
      </c>
      <c r="E56" s="8" t="str">
        <f>GenererenScenarios!$C$3</f>
        <v>Pleistoceen</v>
      </c>
      <c r="F56" s="26">
        <v>0.2</v>
      </c>
      <c r="G56" s="29">
        <f>VLOOKUP($C56,DataDijkvakken!$B:$G,2,FALSE)</f>
        <v>5.3301840999999994</v>
      </c>
      <c r="H56" s="7"/>
      <c r="I56" s="7"/>
      <c r="J56" s="29">
        <v>-4</v>
      </c>
      <c r="K56" s="29">
        <f t="shared" si="6"/>
        <v>9.3301841000000003</v>
      </c>
      <c r="L56" s="7">
        <v>0</v>
      </c>
      <c r="M56" s="29">
        <f>IF(Ondergrondscenarios[[#This Row],[Scenariotype '[-']]]="Tussenzandlaag",0,VLOOKUP($C56,DataDijkvakken[#All],4,FALSE))</f>
        <v>49.5</v>
      </c>
      <c r="N56" s="29">
        <f t="shared" si="7"/>
        <v>49.5</v>
      </c>
      <c r="O56" s="29">
        <f>VLOOKUP($C56,DataDijkvakken!$B:$G,5,FALSE)</f>
        <v>15</v>
      </c>
      <c r="P56" s="29">
        <f>VLOOKUP($C56,DataDijkvakken!$B:$G,6,FALSE)</f>
        <v>42.676767676767675</v>
      </c>
      <c r="Q56" s="29">
        <f t="shared" si="8"/>
        <v>42.676767676767675</v>
      </c>
      <c r="R56" s="7">
        <v>2112.5</v>
      </c>
      <c r="S56" s="27"/>
      <c r="T56" s="32">
        <f t="shared" si="9"/>
        <v>0</v>
      </c>
      <c r="U56" s="27"/>
      <c r="V56">
        <f t="shared" si="10"/>
        <v>798.01841000000002</v>
      </c>
      <c r="W56" s="31">
        <f t="shared" si="11"/>
        <v>1298.3889598748906</v>
      </c>
      <c r="X56" s="33"/>
      <c r="Y56">
        <f>IF(Ondergrondscenarios[[#This Row],[Scenariotype '[-']]]="-","",IF(Ondergrondscenarios[[#This Row],[Scenariotype '[-']]]="Pleistoceen",VLOOKUP(Ondergrondscenarios[[#This Row],[Vaknaam '[-']]],DataDijkvakken[#All],8,FALSE),VLOOKUP(Ondergrondscenarios[[#This Row],[Vaknaam '[-']]],DataDijkvakken[#All],7,FALSE)))</f>
        <v>3.5000000000000005E-4</v>
      </c>
      <c r="Z56">
        <f>VLOOKUP($C56,DataDijkvakken[#All],3,FALSE)</f>
        <v>18</v>
      </c>
      <c r="AA56" s="8"/>
    </row>
    <row r="57" spans="1:27" x14ac:dyDescent="0.3">
      <c r="A57">
        <f>IFERROR(IF(Ondergrondscenarios[[#This Row],[Scenarionaam '[-']]]="","",A56+1),1)</f>
        <v>56</v>
      </c>
      <c r="B57">
        <f>A61/6</f>
        <v>10</v>
      </c>
      <c r="C57" t="str">
        <f>VLOOKUP(Ondergrondscenarios[[#This Row],[VakID '[-']]],DataDijkvakken!A:I,2,FALSE)</f>
        <v>04a</v>
      </c>
      <c r="D57" s="8" t="str">
        <f>GenererenScenarios!$B$4</f>
        <v>P_S2_HL_F</v>
      </c>
      <c r="E57" s="8" t="str">
        <f>GenererenScenarios!$C$4</f>
        <v>Holoceen</v>
      </c>
      <c r="F57" s="26">
        <v>0.7</v>
      </c>
      <c r="G57" s="29">
        <f>VLOOKUP($C57,DataDijkvakken!$B:$G,2,FALSE)</f>
        <v>5.3301840999999994</v>
      </c>
      <c r="H57" s="7"/>
      <c r="I57" s="7"/>
      <c r="J57" s="29">
        <v>1.2</v>
      </c>
      <c r="K57" s="29">
        <f t="shared" si="6"/>
        <v>4.1301840999999992</v>
      </c>
      <c r="L57" s="7">
        <v>4</v>
      </c>
      <c r="M57" s="29">
        <f>IF(Ondergrondscenarios[[#This Row],[Scenariotype '[-']]]="Tussenzandlaag",0,VLOOKUP($C57,DataDijkvakken[#All],4,FALSE))</f>
        <v>49.5</v>
      </c>
      <c r="N57" s="29">
        <f t="shared" si="7"/>
        <v>53.5</v>
      </c>
      <c r="O57" s="29">
        <f>VLOOKUP($C57,DataDijkvakken!$B:$G,5,FALSE)</f>
        <v>15</v>
      </c>
      <c r="P57" s="29">
        <f>VLOOKUP($C57,DataDijkvakken!$B:$G,6,FALSE)</f>
        <v>42.676767676767675</v>
      </c>
      <c r="Q57" s="29">
        <f t="shared" si="8"/>
        <v>40.607476635514018</v>
      </c>
      <c r="R57" s="7">
        <v>2172.5</v>
      </c>
      <c r="S57" s="27"/>
      <c r="T57" s="32">
        <f t="shared" si="9"/>
        <v>0</v>
      </c>
      <c r="U57" s="27"/>
      <c r="V57">
        <f t="shared" si="10"/>
        <v>278.0184099999999</v>
      </c>
      <c r="W57" s="31">
        <f t="shared" si="11"/>
        <v>777.17114957067201</v>
      </c>
      <c r="X57" s="33"/>
      <c r="Y57">
        <f>IF(Ondergrondscenarios[[#This Row],[Scenariotype '[-']]]="-","",IF(Ondergrondscenarios[[#This Row],[Scenariotype '[-']]]="Pleistoceen",VLOOKUP(Ondergrondscenarios[[#This Row],[Vaknaam '[-']]],DataDijkvakken[#All],8,FALSE),VLOOKUP(Ondergrondscenarios[[#This Row],[Vaknaam '[-']]],DataDijkvakken[#All],7,FALSE)))</f>
        <v>2.8000000000000003E-4</v>
      </c>
      <c r="Z57">
        <f>VLOOKUP($C57,DataDijkvakken[#All],3,FALSE)</f>
        <v>18</v>
      </c>
      <c r="AA57" s="8"/>
    </row>
    <row r="58" spans="1:27" x14ac:dyDescent="0.3">
      <c r="A58">
        <f>IFERROR(IF(Ondergrondscenarios[[#This Row],[Scenarionaam '[-']]]="","",A57+1),1)</f>
        <v>57</v>
      </c>
      <c r="B58">
        <f>A61/6</f>
        <v>10</v>
      </c>
      <c r="C58" t="str">
        <f>VLOOKUP(Ondergrondscenarios[[#This Row],[VakID '[-']]],DataDijkvakken!A:I,2,FALSE)</f>
        <v>04a</v>
      </c>
      <c r="D58" s="8" t="str">
        <f>GenererenScenarios!$B$5</f>
        <v>P_S3_HL_TZ</v>
      </c>
      <c r="E58" s="8" t="str">
        <f>GenererenScenarios!$C$5</f>
        <v>Tussenzandlaag</v>
      </c>
      <c r="F58" s="26">
        <v>0.1</v>
      </c>
      <c r="G58" s="29">
        <f>VLOOKUP($C58,DataDijkvakken!$B:$G,2,FALSE)</f>
        <v>5.3301840999999994</v>
      </c>
      <c r="H58" s="7"/>
      <c r="I58" s="7"/>
      <c r="J58" s="29">
        <v>4.0999999999999996</v>
      </c>
      <c r="K58" s="29">
        <f t="shared" si="6"/>
        <v>1.2301840999999998</v>
      </c>
      <c r="L58" s="7">
        <v>3</v>
      </c>
      <c r="M58" s="29">
        <f>IF(Ondergrondscenarios[[#This Row],[Scenariotype '[-']]]="Tussenzandlaag",0,VLOOKUP($C58,DataDijkvakken[#All],4,FALSE))</f>
        <v>0</v>
      </c>
      <c r="N58" s="29">
        <f t="shared" si="7"/>
        <v>3</v>
      </c>
      <c r="O58" s="29">
        <f>VLOOKUP($C58,DataDijkvakken!$B:$G,5,FALSE)</f>
        <v>15</v>
      </c>
      <c r="P58" s="29">
        <f>VLOOKUP($C58,DataDijkvakken!$B:$G,6,FALSE)</f>
        <v>42.676767676767675</v>
      </c>
      <c r="Q58" s="29">
        <f t="shared" si="8"/>
        <v>15</v>
      </c>
      <c r="R58" s="7">
        <v>45</v>
      </c>
      <c r="S58" s="27"/>
      <c r="T58" s="32">
        <f t="shared" si="9"/>
        <v>0</v>
      </c>
      <c r="U58" s="27"/>
      <c r="V58">
        <f t="shared" si="10"/>
        <v>12.301840999999998</v>
      </c>
      <c r="W58" s="31">
        <f t="shared" si="11"/>
        <v>23.528341314253325</v>
      </c>
      <c r="X58" s="33"/>
      <c r="Y58">
        <f>IF(Ondergrondscenarios[[#This Row],[Scenariotype '[-']]]="-","",IF(Ondergrondscenarios[[#This Row],[Scenariotype '[-']]]="Pleistoceen",VLOOKUP(Ondergrondscenarios[[#This Row],[Vaknaam '[-']]],DataDijkvakken[#All],8,FALSE),VLOOKUP(Ondergrondscenarios[[#This Row],[Vaknaam '[-']]],DataDijkvakken[#All],7,FALSE)))</f>
        <v>2.8000000000000003E-4</v>
      </c>
      <c r="Z58">
        <f>VLOOKUP($C58,DataDijkvakken[#All],3,FALSE)</f>
        <v>18</v>
      </c>
      <c r="AA58" s="8"/>
    </row>
    <row r="59" spans="1:27" x14ac:dyDescent="0.3">
      <c r="A59">
        <f>IFERROR(IF(Ondergrondscenarios[[#This Row],[Scenarionaam '[-']]]="","",A58+1),1)</f>
        <v>58</v>
      </c>
      <c r="B59">
        <f>A61/6</f>
        <v>10</v>
      </c>
      <c r="C59" t="str">
        <f>VLOOKUP(Ondergrondscenarios[[#This Row],[VakID '[-']]],DataDijkvakken!A:I,2,FALSE)</f>
        <v>04a</v>
      </c>
      <c r="D59" s="8" t="str">
        <f>GenererenScenarios!$B$6</f>
        <v>P_S4</v>
      </c>
      <c r="E59" s="8" t="str">
        <f>GenererenScenarios!$C$6</f>
        <v>-</v>
      </c>
      <c r="F59" s="26">
        <v>0</v>
      </c>
      <c r="G59" s="29">
        <f>VLOOKUP($C59,DataDijkvakken!$B:$G,2,FALSE)</f>
        <v>5.3301840999999994</v>
      </c>
      <c r="H59" s="7"/>
      <c r="I59" s="7"/>
      <c r="J59" s="29"/>
      <c r="K59" s="29">
        <f t="shared" si="6"/>
        <v>5.3301840999999994</v>
      </c>
      <c r="L59" s="7"/>
      <c r="M59" s="29">
        <f>IF(Ondergrondscenarios[[#This Row],[Scenariotype '[-']]]="Tussenzandlaag",0,VLOOKUP($C59,DataDijkvakken[#All],4,FALSE))</f>
        <v>49.5</v>
      </c>
      <c r="N59" s="29">
        <f t="shared" si="7"/>
        <v>49.5</v>
      </c>
      <c r="O59" s="29">
        <f>VLOOKUP($C59,DataDijkvakken!$B:$G,5,FALSE)</f>
        <v>15</v>
      </c>
      <c r="P59" s="29">
        <f>VLOOKUP($C59,DataDijkvakken!$B:$G,6,FALSE)</f>
        <v>42.676767676767675</v>
      </c>
      <c r="Q59" s="29">
        <f t="shared" si="8"/>
        <v>42.676767676767675</v>
      </c>
      <c r="R59" s="7">
        <v>2112.5</v>
      </c>
      <c r="S59" s="27"/>
      <c r="T59" s="32">
        <f t="shared" si="9"/>
        <v>0</v>
      </c>
      <c r="U59" s="27"/>
      <c r="V59">
        <f t="shared" si="10"/>
        <v>398.01840999999996</v>
      </c>
      <c r="W59" s="31">
        <f t="shared" si="11"/>
        <v>916.95904550039745</v>
      </c>
      <c r="X59" s="33"/>
      <c r="Y59" t="str">
        <f>IF(Ondergrondscenarios[[#This Row],[Scenariotype '[-']]]="-","",IF(Ondergrondscenarios[[#This Row],[Scenariotype '[-']]]="Pleistoceen",VLOOKUP(Ondergrondscenarios[[#This Row],[Vaknaam '[-']]],DataDijkvakken[#All],8,FALSE),VLOOKUP(Ondergrondscenarios[[#This Row],[Vaknaam '[-']]],DataDijkvakken[#All],7,FALSE)))</f>
        <v/>
      </c>
      <c r="Z59">
        <f>VLOOKUP($C59,DataDijkvakken[#All],3,FALSE)</f>
        <v>18</v>
      </c>
      <c r="AA59" s="8"/>
    </row>
    <row r="60" spans="1:27" x14ac:dyDescent="0.3">
      <c r="A60">
        <f>IFERROR(IF(Ondergrondscenarios[[#This Row],[Scenarionaam '[-']]]="","",A59+1),1)</f>
        <v>59</v>
      </c>
      <c r="B60">
        <f>A61/6</f>
        <v>10</v>
      </c>
      <c r="C60" t="str">
        <f>VLOOKUP(Ondergrondscenarios[[#This Row],[VakID '[-']]],DataDijkvakken!A:I,2,FALSE)</f>
        <v>04a</v>
      </c>
      <c r="D60" s="8" t="str">
        <f>GenererenScenarios!$B$7</f>
        <v>P_S5</v>
      </c>
      <c r="E60" s="8" t="str">
        <f>GenererenScenarios!$C$7</f>
        <v>-</v>
      </c>
      <c r="F60" s="26">
        <v>0</v>
      </c>
      <c r="G60" s="29">
        <f>VLOOKUP($C60,DataDijkvakken!$B:$G,2,FALSE)</f>
        <v>5.3301840999999994</v>
      </c>
      <c r="H60" s="7"/>
      <c r="I60" s="7"/>
      <c r="J60" s="29"/>
      <c r="K60" s="29">
        <f t="shared" si="6"/>
        <v>5.3301840999999994</v>
      </c>
      <c r="L60" s="7"/>
      <c r="M60" s="29">
        <f>IF(Ondergrondscenarios[[#This Row],[Scenariotype '[-']]]="Tussenzandlaag",0,VLOOKUP($C60,DataDijkvakken[#All],4,FALSE))</f>
        <v>49.5</v>
      </c>
      <c r="N60" s="29">
        <f t="shared" si="7"/>
        <v>49.5</v>
      </c>
      <c r="O60" s="29">
        <f>VLOOKUP($C60,DataDijkvakken!$B:$G,5,FALSE)</f>
        <v>15</v>
      </c>
      <c r="P60" s="29">
        <f>VLOOKUP($C60,DataDijkvakken!$B:$G,6,FALSE)</f>
        <v>42.676767676767675</v>
      </c>
      <c r="Q60" s="29">
        <f t="shared" si="8"/>
        <v>42.676767676767675</v>
      </c>
      <c r="R60" s="7">
        <v>2112.5</v>
      </c>
      <c r="S60" s="27"/>
      <c r="T60" s="32">
        <f t="shared" si="9"/>
        <v>0</v>
      </c>
      <c r="U60" s="27"/>
      <c r="V60">
        <f t="shared" si="10"/>
        <v>398.01840999999996</v>
      </c>
      <c r="W60" s="31">
        <f t="shared" si="11"/>
        <v>916.95904550039745</v>
      </c>
      <c r="X60" s="33"/>
      <c r="Y60" t="str">
        <f>IF(Ondergrondscenarios[[#This Row],[Scenariotype '[-']]]="-","",IF(Ondergrondscenarios[[#This Row],[Scenariotype '[-']]]="Pleistoceen",VLOOKUP(Ondergrondscenarios[[#This Row],[Vaknaam '[-']]],DataDijkvakken[#All],8,FALSE),VLOOKUP(Ondergrondscenarios[[#This Row],[Vaknaam '[-']]],DataDijkvakken[#All],7,FALSE)))</f>
        <v/>
      </c>
      <c r="Z60">
        <f>VLOOKUP($C60,DataDijkvakken[#All],3,FALSE)</f>
        <v>18</v>
      </c>
      <c r="AA60" s="8"/>
    </row>
    <row r="61" spans="1:27" x14ac:dyDescent="0.3">
      <c r="A61">
        <f>IFERROR(IF(Ondergrondscenarios[[#This Row],[Scenarionaam '[-']]]="","",A60+1),1)</f>
        <v>60</v>
      </c>
      <c r="B61">
        <f>A61/6</f>
        <v>10</v>
      </c>
      <c r="C61" t="str">
        <f>VLOOKUP(Ondergrondscenarios[[#This Row],[VakID '[-']]],DataDijkvakken!A:I,2,FALSE)</f>
        <v>04a</v>
      </c>
      <c r="D61" s="8" t="str">
        <f>GenererenScenarios!$B$8</f>
        <v>P_S6</v>
      </c>
      <c r="E61" s="8" t="str">
        <f>GenererenScenarios!$C$8</f>
        <v>-</v>
      </c>
      <c r="F61" s="26">
        <v>0</v>
      </c>
      <c r="G61" s="29">
        <f>VLOOKUP($C61,DataDijkvakken!$B:$G,2,FALSE)</f>
        <v>5.3301840999999994</v>
      </c>
      <c r="H61" s="7"/>
      <c r="I61" s="7"/>
      <c r="J61" s="29"/>
      <c r="K61" s="29">
        <f t="shared" si="6"/>
        <v>5.3301840999999994</v>
      </c>
      <c r="L61" s="7"/>
      <c r="M61" s="29">
        <f>IF(Ondergrondscenarios[[#This Row],[Scenariotype '[-']]]="Tussenzandlaag",0,VLOOKUP($C61,DataDijkvakken[#All],4,FALSE))</f>
        <v>49.5</v>
      </c>
      <c r="N61" s="29">
        <f t="shared" si="7"/>
        <v>49.5</v>
      </c>
      <c r="O61" s="29">
        <f>VLOOKUP($C61,DataDijkvakken!$B:$G,5,FALSE)</f>
        <v>15</v>
      </c>
      <c r="P61" s="29">
        <f>VLOOKUP($C61,DataDijkvakken!$B:$G,6,FALSE)</f>
        <v>42.676767676767675</v>
      </c>
      <c r="Q61" s="29">
        <f t="shared" si="8"/>
        <v>42.676767676767675</v>
      </c>
      <c r="R61" s="7">
        <v>2112.5</v>
      </c>
      <c r="S61" s="27"/>
      <c r="T61" s="32">
        <f t="shared" si="9"/>
        <v>0</v>
      </c>
      <c r="U61" s="27"/>
      <c r="V61">
        <f t="shared" si="10"/>
        <v>398.01840999999996</v>
      </c>
      <c r="W61" s="31">
        <f t="shared" si="11"/>
        <v>916.95904550039745</v>
      </c>
      <c r="X61" s="33"/>
      <c r="Y61" t="str">
        <f>IF(Ondergrondscenarios[[#This Row],[Scenariotype '[-']]]="-","",IF(Ondergrondscenarios[[#This Row],[Scenariotype '[-']]]="Pleistoceen",VLOOKUP(Ondergrondscenarios[[#This Row],[Vaknaam '[-']]],DataDijkvakken[#All],8,FALSE),VLOOKUP(Ondergrondscenarios[[#This Row],[Vaknaam '[-']]],DataDijkvakken[#All],7,FALSE)))</f>
        <v/>
      </c>
      <c r="Z61">
        <f>VLOOKUP($C61,DataDijkvakken[#All],3,FALSE)</f>
        <v>18</v>
      </c>
      <c r="AA61" s="8"/>
    </row>
    <row r="62" spans="1:27" x14ac:dyDescent="0.3">
      <c r="A62">
        <f>IFERROR(IF(Ondergrondscenarios[[#This Row],[Scenarionaam '[-']]]="","",A61+1),1)</f>
        <v>61</v>
      </c>
      <c r="B62">
        <f>A67/6</f>
        <v>11</v>
      </c>
      <c r="C62" t="str">
        <f>VLOOKUP(Ondergrondscenarios[[#This Row],[VakID '[-']]],DataDijkvakken!A:I,2,FALSE)</f>
        <v>04b</v>
      </c>
      <c r="D62" s="8" t="str">
        <f>GenererenScenarios!$B$3</f>
        <v>P_S1_PL</v>
      </c>
      <c r="E62" s="8" t="str">
        <f>GenererenScenarios!$C$3</f>
        <v>Pleistoceen</v>
      </c>
      <c r="F62" s="26">
        <v>0.15</v>
      </c>
      <c r="G62" s="29">
        <f>VLOOKUP($C62,DataDijkvakken!$B:$G,2,FALSE)</f>
        <v>3.2505452285714278</v>
      </c>
      <c r="H62" s="7"/>
      <c r="I62" s="7"/>
      <c r="J62" s="29">
        <v>-6</v>
      </c>
      <c r="K62" s="29">
        <f t="shared" si="6"/>
        <v>9.2505452285714274</v>
      </c>
      <c r="L62" s="7">
        <v>0</v>
      </c>
      <c r="M62" s="29">
        <f>IF(Ondergrondscenarios[[#This Row],[Scenariotype '[-']]]="Tussenzandlaag",0,VLOOKUP($C62,DataDijkvakken[#All],4,FALSE))</f>
        <v>49.5</v>
      </c>
      <c r="N62" s="29">
        <f t="shared" si="7"/>
        <v>49.5</v>
      </c>
      <c r="O62" s="29">
        <f>VLOOKUP($C62,DataDijkvakken!$B:$G,5,FALSE)</f>
        <v>15</v>
      </c>
      <c r="P62" s="29">
        <f>VLOOKUP($C62,DataDijkvakken!$B:$G,6,FALSE)</f>
        <v>42.676767676767675</v>
      </c>
      <c r="Q62" s="29">
        <f t="shared" si="8"/>
        <v>42.676767676767675</v>
      </c>
      <c r="R62" s="7">
        <v>2112.5</v>
      </c>
      <c r="S62" s="27"/>
      <c r="T62" s="32">
        <f t="shared" si="9"/>
        <v>0</v>
      </c>
      <c r="U62" s="27"/>
      <c r="V62">
        <f t="shared" si="10"/>
        <v>790.05452285714273</v>
      </c>
      <c r="W62" s="31">
        <f t="shared" si="11"/>
        <v>1291.8940279820608</v>
      </c>
      <c r="X62" s="33"/>
      <c r="Y62">
        <f>IF(Ondergrondscenarios[[#This Row],[Scenariotype '[-']]]="-","",IF(Ondergrondscenarios[[#This Row],[Scenariotype '[-']]]="Pleistoceen",VLOOKUP(Ondergrondscenarios[[#This Row],[Vaknaam '[-']]],DataDijkvakken[#All],8,FALSE),VLOOKUP(Ondergrondscenarios[[#This Row],[Vaknaam '[-']]],DataDijkvakken[#All],7,FALSE)))</f>
        <v>3.5000000000000005E-4</v>
      </c>
      <c r="Z62">
        <f>VLOOKUP($C62,DataDijkvakken[#All],3,FALSE)</f>
        <v>18</v>
      </c>
      <c r="AA62" s="8"/>
    </row>
    <row r="63" spans="1:27" x14ac:dyDescent="0.3">
      <c r="A63">
        <f>IFERROR(IF(Ondergrondscenarios[[#This Row],[Scenarionaam '[-']]]="","",A62+1),1)</f>
        <v>62</v>
      </c>
      <c r="B63">
        <f>A67/6</f>
        <v>11</v>
      </c>
      <c r="C63" t="str">
        <f>VLOOKUP(Ondergrondscenarios[[#This Row],[VakID '[-']]],DataDijkvakken!A:I,2,FALSE)</f>
        <v>04b</v>
      </c>
      <c r="D63" s="8" t="str">
        <f>GenererenScenarios!$B$4</f>
        <v>P_S2_HL_F</v>
      </c>
      <c r="E63" s="8" t="str">
        <f>GenererenScenarios!$C$4</f>
        <v>Holoceen</v>
      </c>
      <c r="F63" s="26">
        <v>0.85</v>
      </c>
      <c r="G63" s="29">
        <f>VLOOKUP($C63,DataDijkvakken!$B:$G,2,FALSE)</f>
        <v>3.2505452285714278</v>
      </c>
      <c r="H63" s="7"/>
      <c r="I63" s="7"/>
      <c r="J63" s="29">
        <v>0.5</v>
      </c>
      <c r="K63" s="29">
        <f t="shared" si="6"/>
        <v>2.7505452285714278</v>
      </c>
      <c r="L63" s="7">
        <v>6</v>
      </c>
      <c r="M63" s="29">
        <f>IF(Ondergrondscenarios[[#This Row],[Scenariotype '[-']]]="Tussenzandlaag",0,VLOOKUP($C63,DataDijkvakken[#All],4,FALSE))</f>
        <v>49.5</v>
      </c>
      <c r="N63" s="29">
        <f t="shared" si="7"/>
        <v>55.5</v>
      </c>
      <c r="O63" s="29">
        <f>VLOOKUP($C63,DataDijkvakken!$B:$G,5,FALSE)</f>
        <v>15</v>
      </c>
      <c r="P63" s="29">
        <f>VLOOKUP($C63,DataDijkvakken!$B:$G,6,FALSE)</f>
        <v>42.676767676767675</v>
      </c>
      <c r="Q63" s="29">
        <f t="shared" si="8"/>
        <v>39.684684684684683</v>
      </c>
      <c r="R63" s="7">
        <v>2202.5</v>
      </c>
      <c r="S63" s="27"/>
      <c r="T63" s="32">
        <f t="shared" si="9"/>
        <v>0</v>
      </c>
      <c r="U63" s="27"/>
      <c r="V63">
        <f t="shared" si="10"/>
        <v>140.05452285714279</v>
      </c>
      <c r="W63" s="31">
        <f t="shared" si="11"/>
        <v>555.40083416651169</v>
      </c>
      <c r="X63" s="33"/>
      <c r="Y63">
        <f>IF(Ondergrondscenarios[[#This Row],[Scenariotype '[-']]]="-","",IF(Ondergrondscenarios[[#This Row],[Scenariotype '[-']]]="Pleistoceen",VLOOKUP(Ondergrondscenarios[[#This Row],[Vaknaam '[-']]],DataDijkvakken[#All],8,FALSE),VLOOKUP(Ondergrondscenarios[[#This Row],[Vaknaam '[-']]],DataDijkvakken[#All],7,FALSE)))</f>
        <v>2.8000000000000003E-4</v>
      </c>
      <c r="Z63">
        <f>VLOOKUP($C63,DataDijkvakken[#All],3,FALSE)</f>
        <v>18</v>
      </c>
      <c r="AA63" s="8"/>
    </row>
    <row r="64" spans="1:27" x14ac:dyDescent="0.3">
      <c r="A64">
        <f>IFERROR(IF(Ondergrondscenarios[[#This Row],[Scenarionaam '[-']]]="","",A63+1),1)</f>
        <v>63</v>
      </c>
      <c r="B64">
        <f>A67/6</f>
        <v>11</v>
      </c>
      <c r="C64" t="str">
        <f>VLOOKUP(Ondergrondscenarios[[#This Row],[VakID '[-']]],DataDijkvakken!A:I,2,FALSE)</f>
        <v>04b</v>
      </c>
      <c r="D64" s="8" t="str">
        <f>GenererenScenarios!$B$5</f>
        <v>P_S3_HL_TZ</v>
      </c>
      <c r="E64" s="8" t="str">
        <f>GenererenScenarios!$C$5</f>
        <v>Tussenzandlaag</v>
      </c>
      <c r="F64" s="26">
        <v>0</v>
      </c>
      <c r="G64" s="29">
        <f>VLOOKUP($C64,DataDijkvakken!$B:$G,2,FALSE)</f>
        <v>3.2505452285714278</v>
      </c>
      <c r="H64" s="7"/>
      <c r="I64" s="7"/>
      <c r="J64" s="29"/>
      <c r="K64" s="29">
        <f t="shared" si="6"/>
        <v>3.2505452285714278</v>
      </c>
      <c r="L64" s="7"/>
      <c r="M64" s="29">
        <f>IF(Ondergrondscenarios[[#This Row],[Scenariotype '[-']]]="Tussenzandlaag",0,VLOOKUP($C64,DataDijkvakken[#All],4,FALSE))</f>
        <v>0</v>
      </c>
      <c r="N64" s="29">
        <f t="shared" si="7"/>
        <v>0.1</v>
      </c>
      <c r="O64" s="29">
        <f>VLOOKUP($C64,DataDijkvakken!$B:$G,5,FALSE)</f>
        <v>15</v>
      </c>
      <c r="P64" s="29">
        <f>VLOOKUP($C64,DataDijkvakken!$B:$G,6,FALSE)</f>
        <v>42.676767676767675</v>
      </c>
      <c r="Q64" s="29">
        <f t="shared" si="8"/>
        <v>0.1</v>
      </c>
      <c r="R64" s="7">
        <v>1.0000000000000002E-2</v>
      </c>
      <c r="S64" s="27"/>
      <c r="T64" s="32">
        <f t="shared" si="9"/>
        <v>0</v>
      </c>
      <c r="U64" s="27"/>
      <c r="V64">
        <f t="shared" si="10"/>
        <v>190.05452285714279</v>
      </c>
      <c r="W64" s="31">
        <f t="shared" si="11"/>
        <v>1.3786026362122727</v>
      </c>
      <c r="X64" s="33"/>
      <c r="Y64">
        <f>IF(Ondergrondscenarios[[#This Row],[Scenariotype '[-']]]="-","",IF(Ondergrondscenarios[[#This Row],[Scenariotype '[-']]]="Pleistoceen",VLOOKUP(Ondergrondscenarios[[#This Row],[Vaknaam '[-']]],DataDijkvakken[#All],8,FALSE),VLOOKUP(Ondergrondscenarios[[#This Row],[Vaknaam '[-']]],DataDijkvakken[#All],7,FALSE)))</f>
        <v>2.8000000000000003E-4</v>
      </c>
      <c r="Z64">
        <f>VLOOKUP($C64,DataDijkvakken[#All],3,FALSE)</f>
        <v>18</v>
      </c>
      <c r="AA64" s="8"/>
    </row>
    <row r="65" spans="1:27" x14ac:dyDescent="0.3">
      <c r="A65">
        <f>IFERROR(IF(Ondergrondscenarios[[#This Row],[Scenarionaam '[-']]]="","",A64+1),1)</f>
        <v>64</v>
      </c>
      <c r="B65">
        <f>A67/6</f>
        <v>11</v>
      </c>
      <c r="C65" t="str">
        <f>VLOOKUP(Ondergrondscenarios[[#This Row],[VakID '[-']]],DataDijkvakken!A:I,2,FALSE)</f>
        <v>04b</v>
      </c>
      <c r="D65" s="8" t="str">
        <f>GenererenScenarios!$B$6</f>
        <v>P_S4</v>
      </c>
      <c r="E65" s="8" t="str">
        <f>GenererenScenarios!$C$6</f>
        <v>-</v>
      </c>
      <c r="F65" s="26">
        <v>0</v>
      </c>
      <c r="G65" s="29">
        <f>VLOOKUP($C65,DataDijkvakken!$B:$G,2,FALSE)</f>
        <v>3.2505452285714278</v>
      </c>
      <c r="H65" s="7"/>
      <c r="I65" s="7"/>
      <c r="J65" s="29"/>
      <c r="K65" s="29">
        <f t="shared" si="6"/>
        <v>3.2505452285714278</v>
      </c>
      <c r="L65" s="7"/>
      <c r="M65" s="29">
        <f>IF(Ondergrondscenarios[[#This Row],[Scenariotype '[-']]]="Tussenzandlaag",0,VLOOKUP($C65,DataDijkvakken[#All],4,FALSE))</f>
        <v>49.5</v>
      </c>
      <c r="N65" s="29">
        <f t="shared" si="7"/>
        <v>49.5</v>
      </c>
      <c r="O65" s="29">
        <f>VLOOKUP($C65,DataDijkvakken!$B:$G,5,FALSE)</f>
        <v>15</v>
      </c>
      <c r="P65" s="29">
        <f>VLOOKUP($C65,DataDijkvakken!$B:$G,6,FALSE)</f>
        <v>42.676767676767675</v>
      </c>
      <c r="Q65" s="29">
        <f t="shared" si="8"/>
        <v>42.676767676767675</v>
      </c>
      <c r="R65" s="7">
        <v>2112.5</v>
      </c>
      <c r="S65" s="27"/>
      <c r="T65" s="32">
        <f t="shared" si="9"/>
        <v>0</v>
      </c>
      <c r="U65" s="27"/>
      <c r="V65">
        <f t="shared" si="10"/>
        <v>190.05452285714279</v>
      </c>
      <c r="W65" s="31">
        <f t="shared" si="11"/>
        <v>633.63252720777689</v>
      </c>
      <c r="X65" s="33"/>
      <c r="Y65" t="str">
        <f>IF(Ondergrondscenarios[[#This Row],[Scenariotype '[-']]]="-","",IF(Ondergrondscenarios[[#This Row],[Scenariotype '[-']]]="Pleistoceen",VLOOKUP(Ondergrondscenarios[[#This Row],[Vaknaam '[-']]],DataDijkvakken[#All],8,FALSE),VLOOKUP(Ondergrondscenarios[[#This Row],[Vaknaam '[-']]],DataDijkvakken[#All],7,FALSE)))</f>
        <v/>
      </c>
      <c r="Z65">
        <f>VLOOKUP($C65,DataDijkvakken[#All],3,FALSE)</f>
        <v>18</v>
      </c>
      <c r="AA65" s="8"/>
    </row>
    <row r="66" spans="1:27" x14ac:dyDescent="0.3">
      <c r="A66">
        <f>IFERROR(IF(Ondergrondscenarios[[#This Row],[Scenarionaam '[-']]]="","",A65+1),1)</f>
        <v>65</v>
      </c>
      <c r="B66">
        <f>A67/6</f>
        <v>11</v>
      </c>
      <c r="C66" t="str">
        <f>VLOOKUP(Ondergrondscenarios[[#This Row],[VakID '[-']]],DataDijkvakken!A:I,2,FALSE)</f>
        <v>04b</v>
      </c>
      <c r="D66" s="8" t="str">
        <f>GenererenScenarios!$B$7</f>
        <v>P_S5</v>
      </c>
      <c r="E66" s="8" t="str">
        <f>GenererenScenarios!$C$7</f>
        <v>-</v>
      </c>
      <c r="F66" s="26">
        <v>0</v>
      </c>
      <c r="G66" s="29">
        <f>VLOOKUP($C66,DataDijkvakken!$B:$G,2,FALSE)</f>
        <v>3.2505452285714278</v>
      </c>
      <c r="H66" s="7"/>
      <c r="I66" s="7"/>
      <c r="J66" s="29"/>
      <c r="K66" s="29">
        <f t="shared" si="6"/>
        <v>3.2505452285714278</v>
      </c>
      <c r="L66" s="7"/>
      <c r="M66" s="29">
        <f>IF(Ondergrondscenarios[[#This Row],[Scenariotype '[-']]]="Tussenzandlaag",0,VLOOKUP($C66,DataDijkvakken[#All],4,FALSE))</f>
        <v>49.5</v>
      </c>
      <c r="N66" s="29">
        <f t="shared" si="7"/>
        <v>49.5</v>
      </c>
      <c r="O66" s="29">
        <f>VLOOKUP($C66,DataDijkvakken!$B:$G,5,FALSE)</f>
        <v>15</v>
      </c>
      <c r="P66" s="29">
        <f>VLOOKUP($C66,DataDijkvakken!$B:$G,6,FALSE)</f>
        <v>42.676767676767675</v>
      </c>
      <c r="Q66" s="29">
        <f t="shared" si="8"/>
        <v>42.676767676767675</v>
      </c>
      <c r="R66" s="7">
        <v>2112.5</v>
      </c>
      <c r="S66" s="27"/>
      <c r="T66" s="32">
        <f t="shared" si="9"/>
        <v>0</v>
      </c>
      <c r="U66" s="27"/>
      <c r="V66">
        <f t="shared" si="10"/>
        <v>190.05452285714279</v>
      </c>
      <c r="W66" s="31">
        <f t="shared" si="11"/>
        <v>633.63252720777689</v>
      </c>
      <c r="X66" s="33"/>
      <c r="Y66" t="str">
        <f>IF(Ondergrondscenarios[[#This Row],[Scenariotype '[-']]]="-","",IF(Ondergrondscenarios[[#This Row],[Scenariotype '[-']]]="Pleistoceen",VLOOKUP(Ondergrondscenarios[[#This Row],[Vaknaam '[-']]],DataDijkvakken[#All],8,FALSE),VLOOKUP(Ondergrondscenarios[[#This Row],[Vaknaam '[-']]],DataDijkvakken[#All],7,FALSE)))</f>
        <v/>
      </c>
      <c r="Z66">
        <f>VLOOKUP($C66,DataDijkvakken[#All],3,FALSE)</f>
        <v>18</v>
      </c>
      <c r="AA66" s="8"/>
    </row>
    <row r="67" spans="1:27" x14ac:dyDescent="0.3">
      <c r="A67">
        <f>IFERROR(IF(Ondergrondscenarios[[#This Row],[Scenarionaam '[-']]]="","",A66+1),1)</f>
        <v>66</v>
      </c>
      <c r="B67">
        <f>A67/6</f>
        <v>11</v>
      </c>
      <c r="C67" t="str">
        <f>VLOOKUP(Ondergrondscenarios[[#This Row],[VakID '[-']]],DataDijkvakken!A:I,2,FALSE)</f>
        <v>04b</v>
      </c>
      <c r="D67" s="8" t="str">
        <f>GenererenScenarios!$B$8</f>
        <v>P_S6</v>
      </c>
      <c r="E67" s="8" t="str">
        <f>GenererenScenarios!$C$8</f>
        <v>-</v>
      </c>
      <c r="F67" s="26">
        <v>0</v>
      </c>
      <c r="G67" s="29">
        <f>VLOOKUP($C67,DataDijkvakken!$B:$G,2,FALSE)</f>
        <v>3.2505452285714278</v>
      </c>
      <c r="H67" s="7"/>
      <c r="I67" s="7"/>
      <c r="J67" s="29"/>
      <c r="K67" s="29">
        <f t="shared" si="6"/>
        <v>3.2505452285714278</v>
      </c>
      <c r="L67" s="7"/>
      <c r="M67" s="29">
        <f>IF(Ondergrondscenarios[[#This Row],[Scenariotype '[-']]]="Tussenzandlaag",0,VLOOKUP($C67,DataDijkvakken[#All],4,FALSE))</f>
        <v>49.5</v>
      </c>
      <c r="N67" s="29">
        <f t="shared" si="7"/>
        <v>49.5</v>
      </c>
      <c r="O67" s="29">
        <f>VLOOKUP($C67,DataDijkvakken!$B:$G,5,FALSE)</f>
        <v>15</v>
      </c>
      <c r="P67" s="29">
        <f>VLOOKUP($C67,DataDijkvakken!$B:$G,6,FALSE)</f>
        <v>42.676767676767675</v>
      </c>
      <c r="Q67" s="29">
        <f t="shared" si="8"/>
        <v>42.676767676767675</v>
      </c>
      <c r="R67" s="7">
        <v>2112.5</v>
      </c>
      <c r="S67" s="27"/>
      <c r="T67" s="32">
        <f t="shared" si="9"/>
        <v>0</v>
      </c>
      <c r="U67" s="27"/>
      <c r="V67">
        <f t="shared" si="10"/>
        <v>190.05452285714279</v>
      </c>
      <c r="W67" s="31">
        <f t="shared" si="11"/>
        <v>633.63252720777689</v>
      </c>
      <c r="X67" s="33"/>
      <c r="Y67" t="str">
        <f>IF(Ondergrondscenarios[[#This Row],[Scenariotype '[-']]]="-","",IF(Ondergrondscenarios[[#This Row],[Scenariotype '[-']]]="Pleistoceen",VLOOKUP(Ondergrondscenarios[[#This Row],[Vaknaam '[-']]],DataDijkvakken[#All],8,FALSE),VLOOKUP(Ondergrondscenarios[[#This Row],[Vaknaam '[-']]],DataDijkvakken[#All],7,FALSE)))</f>
        <v/>
      </c>
      <c r="Z67">
        <f>VLOOKUP($C67,DataDijkvakken[#All],3,FALSE)</f>
        <v>18</v>
      </c>
      <c r="AA67" s="8"/>
    </row>
    <row r="68" spans="1:27" x14ac:dyDescent="0.3">
      <c r="A68">
        <f>IFERROR(IF(Ondergrondscenarios[[#This Row],[Scenarionaam '[-']]]="","",A67+1),1)</f>
        <v>67</v>
      </c>
      <c r="B68">
        <f>A73/6</f>
        <v>12</v>
      </c>
      <c r="C68" t="str">
        <f>VLOOKUP(Ondergrondscenarios[[#This Row],[VakID '[-']]],DataDijkvakken!A:I,2,FALSE)</f>
        <v>05a</v>
      </c>
      <c r="D68" s="8" t="str">
        <f>GenererenScenarios!$B$3</f>
        <v>P_S1_PL</v>
      </c>
      <c r="E68" s="8" t="str">
        <f>GenererenScenarios!$C$3</f>
        <v>Pleistoceen</v>
      </c>
      <c r="F68" s="26">
        <v>0.8</v>
      </c>
      <c r="G68" s="29">
        <f>VLOOKUP($C68,DataDijkvakken!$B:$G,2,FALSE)</f>
        <v>2.2238142580645164</v>
      </c>
      <c r="H68" s="7"/>
      <c r="I68" s="7"/>
      <c r="J68" s="29">
        <v>-5.5</v>
      </c>
      <c r="K68" s="29">
        <f t="shared" si="6"/>
        <v>7.7238142580645164</v>
      </c>
      <c r="L68" s="7">
        <v>0</v>
      </c>
      <c r="M68" s="29">
        <f>IF(Ondergrondscenarios[[#This Row],[Scenariotype '[-']]]="Tussenzandlaag",0,VLOOKUP($C68,DataDijkvakken[#All],4,FALSE))</f>
        <v>49.5</v>
      </c>
      <c r="N68" s="29">
        <f t="shared" si="7"/>
        <v>49.5</v>
      </c>
      <c r="O68" s="29">
        <f>VLOOKUP($C68,DataDijkvakken!$B:$G,5,FALSE)</f>
        <v>15</v>
      </c>
      <c r="P68" s="29">
        <f>VLOOKUP($C68,DataDijkvakken!$B:$G,6,FALSE)</f>
        <v>42.676767676767675</v>
      </c>
      <c r="Q68" s="29">
        <f t="shared" si="8"/>
        <v>42.676767676767675</v>
      </c>
      <c r="R68" s="7">
        <v>2112.5</v>
      </c>
      <c r="S68" s="27"/>
      <c r="T68" s="32">
        <f t="shared" si="9"/>
        <v>0</v>
      </c>
      <c r="U68" s="27"/>
      <c r="V68">
        <f t="shared" si="10"/>
        <v>637.3814258064516</v>
      </c>
      <c r="W68" s="31">
        <f t="shared" si="11"/>
        <v>1160.374190516201</v>
      </c>
      <c r="X68" s="33"/>
      <c r="Y68">
        <f>IF(Ondergrondscenarios[[#This Row],[Scenariotype '[-']]]="-","",IF(Ondergrondscenarios[[#This Row],[Scenariotype '[-']]]="Pleistoceen",VLOOKUP(Ondergrondscenarios[[#This Row],[Vaknaam '[-']]],DataDijkvakken[#All],8,FALSE),VLOOKUP(Ondergrondscenarios[[#This Row],[Vaknaam '[-']]],DataDijkvakken[#All],7,FALSE)))</f>
        <v>3.5000000000000005E-4</v>
      </c>
      <c r="Z68">
        <f>VLOOKUP($C68,DataDijkvakken[#All],3,FALSE)</f>
        <v>18</v>
      </c>
      <c r="AA68" s="8"/>
    </row>
    <row r="69" spans="1:27" x14ac:dyDescent="0.3">
      <c r="A69">
        <f>IFERROR(IF(Ondergrondscenarios[[#This Row],[Scenarionaam '[-']]]="","",A68+1),1)</f>
        <v>68</v>
      </c>
      <c r="B69">
        <f>A73/6</f>
        <v>12</v>
      </c>
      <c r="C69" t="str">
        <f>VLOOKUP(Ondergrondscenarios[[#This Row],[VakID '[-']]],DataDijkvakken!A:I,2,FALSE)</f>
        <v>05a</v>
      </c>
      <c r="D69" s="8" t="str">
        <f>GenererenScenarios!$B$4</f>
        <v>P_S2_HL_F</v>
      </c>
      <c r="E69" s="8" t="str">
        <f>GenererenScenarios!$C$4</f>
        <v>Holoceen</v>
      </c>
      <c r="F69" s="26">
        <v>0.2</v>
      </c>
      <c r="G69" s="29">
        <f>VLOOKUP($C69,DataDijkvakken!$B:$G,2,FALSE)</f>
        <v>2.2238142580645164</v>
      </c>
      <c r="H69" s="7"/>
      <c r="I69" s="7"/>
      <c r="J69" s="29">
        <v>-4</v>
      </c>
      <c r="K69" s="29">
        <f t="shared" si="6"/>
        <v>6.2238142580645164</v>
      </c>
      <c r="L69" s="7">
        <v>2.5</v>
      </c>
      <c r="M69" s="29">
        <f>IF(Ondergrondscenarios[[#This Row],[Scenariotype '[-']]]="Tussenzandlaag",0,VLOOKUP($C69,DataDijkvakken[#All],4,FALSE))</f>
        <v>49.5</v>
      </c>
      <c r="N69" s="29">
        <f t="shared" si="7"/>
        <v>52</v>
      </c>
      <c r="O69" s="29">
        <f>VLOOKUP($C69,DataDijkvakken!$B:$G,5,FALSE)</f>
        <v>15</v>
      </c>
      <c r="P69" s="29">
        <f>VLOOKUP($C69,DataDijkvakken!$B:$G,6,FALSE)</f>
        <v>42.676767676767675</v>
      </c>
      <c r="Q69" s="29">
        <f t="shared" si="8"/>
        <v>41.346153846153847</v>
      </c>
      <c r="R69" s="7">
        <v>2150</v>
      </c>
      <c r="S69" s="27"/>
      <c r="T69" s="32">
        <f t="shared" si="9"/>
        <v>0</v>
      </c>
      <c r="U69" s="27"/>
      <c r="V69">
        <f t="shared" si="10"/>
        <v>487.3814258064516</v>
      </c>
      <c r="W69" s="31">
        <f t="shared" si="11"/>
        <v>1023.6552473776857</v>
      </c>
      <c r="X69" s="33"/>
      <c r="Y69">
        <f>IF(Ondergrondscenarios[[#This Row],[Scenariotype '[-']]]="-","",IF(Ondergrondscenarios[[#This Row],[Scenariotype '[-']]]="Pleistoceen",VLOOKUP(Ondergrondscenarios[[#This Row],[Vaknaam '[-']]],DataDijkvakken[#All],8,FALSE),VLOOKUP(Ondergrondscenarios[[#This Row],[Vaknaam '[-']]],DataDijkvakken[#All],7,FALSE)))</f>
        <v>2.8000000000000003E-4</v>
      </c>
      <c r="Z69">
        <f>VLOOKUP($C69,DataDijkvakken[#All],3,FALSE)</f>
        <v>18</v>
      </c>
      <c r="AA69" s="8"/>
    </row>
    <row r="70" spans="1:27" x14ac:dyDescent="0.3">
      <c r="A70">
        <f>IFERROR(IF(Ondergrondscenarios[[#This Row],[Scenarionaam '[-']]]="","",A69+1),1)</f>
        <v>69</v>
      </c>
      <c r="B70">
        <f>A73/6</f>
        <v>12</v>
      </c>
      <c r="C70" t="str">
        <f>VLOOKUP(Ondergrondscenarios[[#This Row],[VakID '[-']]],DataDijkvakken!A:I,2,FALSE)</f>
        <v>05a</v>
      </c>
      <c r="D70" s="8" t="str">
        <f>GenererenScenarios!$B$5</f>
        <v>P_S3_HL_TZ</v>
      </c>
      <c r="E70" s="8" t="str">
        <f>GenererenScenarios!$C$5</f>
        <v>Tussenzandlaag</v>
      </c>
      <c r="F70" s="26">
        <v>0</v>
      </c>
      <c r="G70" s="29">
        <f>VLOOKUP($C70,DataDijkvakken!$B:$G,2,FALSE)</f>
        <v>2.2238142580645164</v>
      </c>
      <c r="H70" s="7"/>
      <c r="I70" s="7"/>
      <c r="J70" s="29"/>
      <c r="K70" s="29">
        <f t="shared" si="6"/>
        <v>2.2238142580645164</v>
      </c>
      <c r="L70" s="7"/>
      <c r="M70" s="29">
        <f>IF(Ondergrondscenarios[[#This Row],[Scenariotype '[-']]]="Tussenzandlaag",0,VLOOKUP($C70,DataDijkvakken[#All],4,FALSE))</f>
        <v>0</v>
      </c>
      <c r="N70" s="29">
        <f t="shared" si="7"/>
        <v>0.1</v>
      </c>
      <c r="O70" s="29">
        <f>VLOOKUP($C70,DataDijkvakken!$B:$G,5,FALSE)</f>
        <v>15</v>
      </c>
      <c r="P70" s="29">
        <f>VLOOKUP($C70,DataDijkvakken!$B:$G,6,FALSE)</f>
        <v>42.676767676767675</v>
      </c>
      <c r="Q70" s="29">
        <f t="shared" si="8"/>
        <v>0.1</v>
      </c>
      <c r="R70" s="7">
        <v>1.0000000000000002E-2</v>
      </c>
      <c r="S70" s="27"/>
      <c r="T70" s="32">
        <f t="shared" si="9"/>
        <v>0</v>
      </c>
      <c r="U70" s="27"/>
      <c r="V70">
        <f t="shared" si="10"/>
        <v>87.381425806451631</v>
      </c>
      <c r="W70" s="31">
        <f t="shared" si="11"/>
        <v>0.93478032610047823</v>
      </c>
      <c r="X70" s="33"/>
      <c r="Y70">
        <f>IF(Ondergrondscenarios[[#This Row],[Scenariotype '[-']]]="-","",IF(Ondergrondscenarios[[#This Row],[Scenariotype '[-']]]="Pleistoceen",VLOOKUP(Ondergrondscenarios[[#This Row],[Vaknaam '[-']]],DataDijkvakken[#All],8,FALSE),VLOOKUP(Ondergrondscenarios[[#This Row],[Vaknaam '[-']]],DataDijkvakken[#All],7,FALSE)))</f>
        <v>2.8000000000000003E-4</v>
      </c>
      <c r="Z70">
        <f>VLOOKUP($C70,DataDijkvakken[#All],3,FALSE)</f>
        <v>18</v>
      </c>
      <c r="AA70" s="8"/>
    </row>
    <row r="71" spans="1:27" x14ac:dyDescent="0.3">
      <c r="A71">
        <f>IFERROR(IF(Ondergrondscenarios[[#This Row],[Scenarionaam '[-']]]="","",A70+1),1)</f>
        <v>70</v>
      </c>
      <c r="B71">
        <f>A73/6</f>
        <v>12</v>
      </c>
      <c r="C71" t="str">
        <f>VLOOKUP(Ondergrondscenarios[[#This Row],[VakID '[-']]],DataDijkvakken!A:I,2,FALSE)</f>
        <v>05a</v>
      </c>
      <c r="D71" s="8" t="str">
        <f>GenererenScenarios!$B$6</f>
        <v>P_S4</v>
      </c>
      <c r="E71" s="8" t="str">
        <f>GenererenScenarios!$C$6</f>
        <v>-</v>
      </c>
      <c r="F71" s="26">
        <v>0</v>
      </c>
      <c r="G71" s="29">
        <f>VLOOKUP($C71,DataDijkvakken!$B:$G,2,FALSE)</f>
        <v>2.2238142580645164</v>
      </c>
      <c r="H71" s="7"/>
      <c r="I71" s="7"/>
      <c r="J71" s="29"/>
      <c r="K71" s="29">
        <f t="shared" si="6"/>
        <v>2.2238142580645164</v>
      </c>
      <c r="L71" s="7"/>
      <c r="M71" s="29">
        <f>IF(Ondergrondscenarios[[#This Row],[Scenariotype '[-']]]="Tussenzandlaag",0,VLOOKUP($C71,DataDijkvakken[#All],4,FALSE))</f>
        <v>49.5</v>
      </c>
      <c r="N71" s="29">
        <f t="shared" si="7"/>
        <v>49.5</v>
      </c>
      <c r="O71" s="29">
        <f>VLOOKUP($C71,DataDijkvakken!$B:$G,5,FALSE)</f>
        <v>15</v>
      </c>
      <c r="P71" s="29">
        <f>VLOOKUP($C71,DataDijkvakken!$B:$G,6,FALSE)</f>
        <v>42.676767676767675</v>
      </c>
      <c r="Q71" s="29">
        <f t="shared" si="8"/>
        <v>42.676767676767675</v>
      </c>
      <c r="R71" s="7">
        <v>2112.5</v>
      </c>
      <c r="S71" s="27"/>
      <c r="T71" s="32">
        <f t="shared" si="9"/>
        <v>0</v>
      </c>
      <c r="U71" s="27"/>
      <c r="V71">
        <f t="shared" si="10"/>
        <v>87.381425806451631</v>
      </c>
      <c r="W71" s="31">
        <f t="shared" si="11"/>
        <v>429.64317987852326</v>
      </c>
      <c r="X71" s="33"/>
      <c r="Y71" t="str">
        <f>IF(Ondergrondscenarios[[#This Row],[Scenariotype '[-']]]="-","",IF(Ondergrondscenarios[[#This Row],[Scenariotype '[-']]]="Pleistoceen",VLOOKUP(Ondergrondscenarios[[#This Row],[Vaknaam '[-']]],DataDijkvakken[#All],8,FALSE),VLOOKUP(Ondergrondscenarios[[#This Row],[Vaknaam '[-']]],DataDijkvakken[#All],7,FALSE)))</f>
        <v/>
      </c>
      <c r="Z71">
        <f>VLOOKUP($C71,DataDijkvakken[#All],3,FALSE)</f>
        <v>18</v>
      </c>
      <c r="AA71" s="8"/>
    </row>
    <row r="72" spans="1:27" x14ac:dyDescent="0.3">
      <c r="A72">
        <f>IFERROR(IF(Ondergrondscenarios[[#This Row],[Scenarionaam '[-']]]="","",A71+1),1)</f>
        <v>71</v>
      </c>
      <c r="B72">
        <f>A73/6</f>
        <v>12</v>
      </c>
      <c r="C72" t="str">
        <f>VLOOKUP(Ondergrondscenarios[[#This Row],[VakID '[-']]],DataDijkvakken!A:I,2,FALSE)</f>
        <v>05a</v>
      </c>
      <c r="D72" s="8" t="str">
        <f>GenererenScenarios!$B$7</f>
        <v>P_S5</v>
      </c>
      <c r="E72" s="8" t="str">
        <f>GenererenScenarios!$C$7</f>
        <v>-</v>
      </c>
      <c r="F72" s="26">
        <v>0</v>
      </c>
      <c r="G72" s="29">
        <f>VLOOKUP($C72,DataDijkvakken!$B:$G,2,FALSE)</f>
        <v>2.2238142580645164</v>
      </c>
      <c r="H72" s="7"/>
      <c r="I72" s="7"/>
      <c r="J72" s="29"/>
      <c r="K72" s="29">
        <f t="shared" ref="K72:K135" si="12">IFERROR(MAX(G72-J72,0),"")</f>
        <v>2.2238142580645164</v>
      </c>
      <c r="L72" s="7"/>
      <c r="M72" s="29">
        <f>IF(Ondergrondscenarios[[#This Row],[Scenariotype '[-']]]="Tussenzandlaag",0,VLOOKUP($C72,DataDijkvakken[#All],4,FALSE))</f>
        <v>49.5</v>
      </c>
      <c r="N72" s="29">
        <f t="shared" ref="N72:N135" si="13">MAX(M72+L72,0.1)</f>
        <v>49.5</v>
      </c>
      <c r="O72" s="29">
        <f>VLOOKUP($C72,DataDijkvakken!$B:$G,5,FALSE)</f>
        <v>15</v>
      </c>
      <c r="P72" s="29">
        <f>VLOOKUP($C72,DataDijkvakken!$B:$G,6,FALSE)</f>
        <v>42.676767676767675</v>
      </c>
      <c r="Q72" s="29">
        <f t="shared" ref="Q72:Q135" si="14">MAX(((L72*O72)+(M72*P72))/N72,0.1)</f>
        <v>42.676767676767675</v>
      </c>
      <c r="R72" s="7">
        <v>2112.5</v>
      </c>
      <c r="S72" s="27"/>
      <c r="T72" s="32">
        <f t="shared" ref="T72:T135" si="15">SQRT(R72*S72)</f>
        <v>0</v>
      </c>
      <c r="U72" s="27"/>
      <c r="V72">
        <f t="shared" ref="V72:V135" si="16">IFERROR(IF(K72&lt;grensDikte,K72/doorlatendheidDunneDeklaag,(grensDikte/doorlatendheidDunneDeklaag)+((K72-grensDikte)/doorlatendheidDikkeDeklaag)),"")</f>
        <v>87.381425806451631</v>
      </c>
      <c r="W72" s="31">
        <f t="shared" ref="W72:W135" si="17">IFERROR(IF(U72="",SQRT(R72*V72),SQRT(R72*U72)),"")</f>
        <v>429.64317987852326</v>
      </c>
      <c r="X72" s="33"/>
      <c r="Y72" t="str">
        <f>IF(Ondergrondscenarios[[#This Row],[Scenariotype '[-']]]="-","",IF(Ondergrondscenarios[[#This Row],[Scenariotype '[-']]]="Pleistoceen",VLOOKUP(Ondergrondscenarios[[#This Row],[Vaknaam '[-']]],DataDijkvakken[#All],8,FALSE),VLOOKUP(Ondergrondscenarios[[#This Row],[Vaknaam '[-']]],DataDijkvakken[#All],7,FALSE)))</f>
        <v/>
      </c>
      <c r="Z72">
        <f>VLOOKUP($C72,DataDijkvakken[#All],3,FALSE)</f>
        <v>18</v>
      </c>
      <c r="AA72" s="8"/>
    </row>
    <row r="73" spans="1:27" x14ac:dyDescent="0.3">
      <c r="A73">
        <f>IFERROR(IF(Ondergrondscenarios[[#This Row],[Scenarionaam '[-']]]="","",A72+1),1)</f>
        <v>72</v>
      </c>
      <c r="B73">
        <f>A73/6</f>
        <v>12</v>
      </c>
      <c r="C73" t="str">
        <f>VLOOKUP(Ondergrondscenarios[[#This Row],[VakID '[-']]],DataDijkvakken!A:I,2,FALSE)</f>
        <v>05a</v>
      </c>
      <c r="D73" s="8" t="str">
        <f>GenererenScenarios!$B$8</f>
        <v>P_S6</v>
      </c>
      <c r="E73" s="8" t="str">
        <f>GenererenScenarios!$C$8</f>
        <v>-</v>
      </c>
      <c r="F73" s="26">
        <v>0</v>
      </c>
      <c r="G73" s="29">
        <f>VLOOKUP($C73,DataDijkvakken!$B:$G,2,FALSE)</f>
        <v>2.2238142580645164</v>
      </c>
      <c r="H73" s="7"/>
      <c r="I73" s="7"/>
      <c r="J73" s="29"/>
      <c r="K73" s="29">
        <f t="shared" si="12"/>
        <v>2.2238142580645164</v>
      </c>
      <c r="L73" s="7"/>
      <c r="M73" s="29">
        <f>IF(Ondergrondscenarios[[#This Row],[Scenariotype '[-']]]="Tussenzandlaag",0,VLOOKUP($C73,DataDijkvakken[#All],4,FALSE))</f>
        <v>49.5</v>
      </c>
      <c r="N73" s="29">
        <f t="shared" si="13"/>
        <v>49.5</v>
      </c>
      <c r="O73" s="29">
        <f>VLOOKUP($C73,DataDijkvakken!$B:$G,5,FALSE)</f>
        <v>15</v>
      </c>
      <c r="P73" s="29">
        <f>VLOOKUP($C73,DataDijkvakken!$B:$G,6,FALSE)</f>
        <v>42.676767676767675</v>
      </c>
      <c r="Q73" s="29">
        <f t="shared" si="14"/>
        <v>42.676767676767675</v>
      </c>
      <c r="R73" s="7">
        <v>2112.5</v>
      </c>
      <c r="S73" s="27"/>
      <c r="T73" s="32">
        <f t="shared" si="15"/>
        <v>0</v>
      </c>
      <c r="U73" s="27"/>
      <c r="V73">
        <f t="shared" si="16"/>
        <v>87.381425806451631</v>
      </c>
      <c r="W73" s="31">
        <f t="shared" si="17"/>
        <v>429.64317987852326</v>
      </c>
      <c r="X73" s="33"/>
      <c r="Y73" t="str">
        <f>IF(Ondergrondscenarios[[#This Row],[Scenariotype '[-']]]="-","",IF(Ondergrondscenarios[[#This Row],[Scenariotype '[-']]]="Pleistoceen",VLOOKUP(Ondergrondscenarios[[#This Row],[Vaknaam '[-']]],DataDijkvakken[#All],8,FALSE),VLOOKUP(Ondergrondscenarios[[#This Row],[Vaknaam '[-']]],DataDijkvakken[#All],7,FALSE)))</f>
        <v/>
      </c>
      <c r="Z73">
        <f>VLOOKUP($C73,DataDijkvakken[#All],3,FALSE)</f>
        <v>18</v>
      </c>
      <c r="AA73" s="8"/>
    </row>
    <row r="74" spans="1:27" x14ac:dyDescent="0.3">
      <c r="A74">
        <f>IFERROR(IF(Ondergrondscenarios[[#This Row],[Scenarionaam '[-']]]="","",A73+1),1)</f>
        <v>73</v>
      </c>
      <c r="B74">
        <f>A79/6</f>
        <v>13</v>
      </c>
      <c r="C74" t="str">
        <f>VLOOKUP(Ondergrondscenarios[[#This Row],[VakID '[-']]],DataDijkvakken!A:I,2,FALSE)</f>
        <v>05b</v>
      </c>
      <c r="D74" s="8" t="str">
        <f>GenererenScenarios!$B$3</f>
        <v>P_S1_PL</v>
      </c>
      <c r="E74" s="8" t="str">
        <f>GenererenScenarios!$C$3</f>
        <v>Pleistoceen</v>
      </c>
      <c r="F74" s="26">
        <v>0.4</v>
      </c>
      <c r="G74" s="29">
        <f>VLOOKUP($C74,DataDijkvakken!$B:$G,2,FALSE)</f>
        <v>2.0815784516129026</v>
      </c>
      <c r="H74" s="7"/>
      <c r="I74" s="7"/>
      <c r="J74" s="29">
        <v>-5</v>
      </c>
      <c r="K74" s="29">
        <f t="shared" si="12"/>
        <v>7.0815784516129021</v>
      </c>
      <c r="L74" s="7">
        <v>0</v>
      </c>
      <c r="M74" s="29">
        <f>IF(Ondergrondscenarios[[#This Row],[Scenariotype '[-']]]="Tussenzandlaag",0,VLOOKUP($C74,DataDijkvakken[#All],4,FALSE))</f>
        <v>49.5</v>
      </c>
      <c r="N74" s="29">
        <f t="shared" si="13"/>
        <v>49.5</v>
      </c>
      <c r="O74" s="29">
        <f>VLOOKUP($C74,DataDijkvakken!$B:$G,5,FALSE)</f>
        <v>15</v>
      </c>
      <c r="P74" s="29">
        <f>VLOOKUP($C74,DataDijkvakken!$B:$G,6,FALSE)</f>
        <v>42.676767676767675</v>
      </c>
      <c r="Q74" s="29">
        <f t="shared" si="14"/>
        <v>42.676767676767675</v>
      </c>
      <c r="R74" s="7">
        <v>2112.5</v>
      </c>
      <c r="S74" s="27"/>
      <c r="T74" s="32">
        <f t="shared" si="15"/>
        <v>0</v>
      </c>
      <c r="U74" s="27"/>
      <c r="V74">
        <f t="shared" si="16"/>
        <v>573.1578451612902</v>
      </c>
      <c r="W74" s="31">
        <f t="shared" si="17"/>
        <v>1100.3617350231812</v>
      </c>
      <c r="X74" s="33"/>
      <c r="Y74">
        <f>IF(Ondergrondscenarios[[#This Row],[Scenariotype '[-']]]="-","",IF(Ondergrondscenarios[[#This Row],[Scenariotype '[-']]]="Pleistoceen",VLOOKUP(Ondergrondscenarios[[#This Row],[Vaknaam '[-']]],DataDijkvakken[#All],8,FALSE),VLOOKUP(Ondergrondscenarios[[#This Row],[Vaknaam '[-']]],DataDijkvakken[#All],7,FALSE)))</f>
        <v>3.5000000000000005E-4</v>
      </c>
      <c r="Z74">
        <f>VLOOKUP($C74,DataDijkvakken[#All],3,FALSE)</f>
        <v>18</v>
      </c>
      <c r="AA74" s="8"/>
    </row>
    <row r="75" spans="1:27" x14ac:dyDescent="0.3">
      <c r="A75">
        <f>IFERROR(IF(Ondergrondscenarios[[#This Row],[Scenarionaam '[-']]]="","",A74+1),1)</f>
        <v>74</v>
      </c>
      <c r="B75">
        <f>A79/6</f>
        <v>13</v>
      </c>
      <c r="C75" t="str">
        <f>VLOOKUP(Ondergrondscenarios[[#This Row],[VakID '[-']]],DataDijkvakken!A:I,2,FALSE)</f>
        <v>05b</v>
      </c>
      <c r="D75" s="8" t="str">
        <f>GenererenScenarios!$B$4</f>
        <v>P_S2_HL_F</v>
      </c>
      <c r="E75" s="8" t="str">
        <f>GenererenScenarios!$C$4</f>
        <v>Holoceen</v>
      </c>
      <c r="F75" s="26">
        <v>0.1</v>
      </c>
      <c r="G75" s="29">
        <f>VLOOKUP($C75,DataDijkvakken!$B:$G,2,FALSE)</f>
        <v>2.0815784516129026</v>
      </c>
      <c r="H75" s="7"/>
      <c r="I75" s="7"/>
      <c r="J75" s="29">
        <v>-5</v>
      </c>
      <c r="K75" s="29">
        <f t="shared" si="12"/>
        <v>7.0815784516129021</v>
      </c>
      <c r="L75" s="7">
        <v>4</v>
      </c>
      <c r="M75" s="29">
        <f>IF(Ondergrondscenarios[[#This Row],[Scenariotype '[-']]]="Tussenzandlaag",0,VLOOKUP($C75,DataDijkvakken[#All],4,FALSE))</f>
        <v>49.5</v>
      </c>
      <c r="N75" s="29">
        <f t="shared" si="13"/>
        <v>53.5</v>
      </c>
      <c r="O75" s="29">
        <f>VLOOKUP($C75,DataDijkvakken!$B:$G,5,FALSE)</f>
        <v>15</v>
      </c>
      <c r="P75" s="29">
        <f>VLOOKUP($C75,DataDijkvakken!$B:$G,6,FALSE)</f>
        <v>42.676767676767675</v>
      </c>
      <c r="Q75" s="29">
        <f t="shared" si="14"/>
        <v>40.607476635514018</v>
      </c>
      <c r="R75" s="7">
        <v>2172.5</v>
      </c>
      <c r="S75" s="27"/>
      <c r="T75" s="32">
        <f t="shared" si="15"/>
        <v>0</v>
      </c>
      <c r="U75" s="27"/>
      <c r="V75">
        <f t="shared" si="16"/>
        <v>573.1578451612902</v>
      </c>
      <c r="W75" s="31">
        <f t="shared" si="17"/>
        <v>1115.8787651949037</v>
      </c>
      <c r="X75" s="33"/>
      <c r="Y75">
        <f>IF(Ondergrondscenarios[[#This Row],[Scenariotype '[-']]]="-","",IF(Ondergrondscenarios[[#This Row],[Scenariotype '[-']]]="Pleistoceen",VLOOKUP(Ondergrondscenarios[[#This Row],[Vaknaam '[-']]],DataDijkvakken[#All],8,FALSE),VLOOKUP(Ondergrondscenarios[[#This Row],[Vaknaam '[-']]],DataDijkvakken[#All],7,FALSE)))</f>
        <v>2.8000000000000003E-4</v>
      </c>
      <c r="Z75">
        <f>VLOOKUP($C75,DataDijkvakken[#All],3,FALSE)</f>
        <v>18</v>
      </c>
      <c r="AA75" s="8"/>
    </row>
    <row r="76" spans="1:27" x14ac:dyDescent="0.3">
      <c r="A76">
        <f>IFERROR(IF(Ondergrondscenarios[[#This Row],[Scenarionaam '[-']]]="","",A75+1),1)</f>
        <v>75</v>
      </c>
      <c r="B76">
        <f>A79/6</f>
        <v>13</v>
      </c>
      <c r="C76" t="str">
        <f>VLOOKUP(Ondergrondscenarios[[#This Row],[VakID '[-']]],DataDijkvakken!A:I,2,FALSE)</f>
        <v>05b</v>
      </c>
      <c r="D76" s="8" t="str">
        <f>GenererenScenarios!$B$5</f>
        <v>P_S3_HL_TZ</v>
      </c>
      <c r="E76" s="8" t="str">
        <f>GenererenScenarios!$C$5</f>
        <v>Tussenzandlaag</v>
      </c>
      <c r="F76" s="26">
        <v>0</v>
      </c>
      <c r="G76" s="29">
        <f>VLOOKUP($C76,DataDijkvakken!$B:$G,2,FALSE)</f>
        <v>2.0815784516129026</v>
      </c>
      <c r="H76" s="7"/>
      <c r="I76" s="7"/>
      <c r="J76" s="29"/>
      <c r="K76" s="29">
        <f t="shared" si="12"/>
        <v>2.0815784516129026</v>
      </c>
      <c r="L76" s="7"/>
      <c r="M76" s="29">
        <f>IF(Ondergrondscenarios[[#This Row],[Scenariotype '[-']]]="Tussenzandlaag",0,VLOOKUP($C76,DataDijkvakken[#All],4,FALSE))</f>
        <v>0</v>
      </c>
      <c r="N76" s="29">
        <f t="shared" si="13"/>
        <v>0.1</v>
      </c>
      <c r="O76" s="29">
        <f>VLOOKUP($C76,DataDijkvakken!$B:$G,5,FALSE)</f>
        <v>15</v>
      </c>
      <c r="P76" s="29">
        <f>VLOOKUP($C76,DataDijkvakken!$B:$G,6,FALSE)</f>
        <v>42.676767676767675</v>
      </c>
      <c r="Q76" s="29">
        <f t="shared" si="14"/>
        <v>0.1</v>
      </c>
      <c r="R76" s="7">
        <v>1.0000000000000002E-2</v>
      </c>
      <c r="S76" s="27"/>
      <c r="T76" s="32">
        <f t="shared" si="15"/>
        <v>0</v>
      </c>
      <c r="U76" s="27"/>
      <c r="V76">
        <f t="shared" si="16"/>
        <v>73.157845161290254</v>
      </c>
      <c r="W76" s="31">
        <f t="shared" si="17"/>
        <v>0.85532359467800412</v>
      </c>
      <c r="X76" s="33"/>
      <c r="Y76">
        <f>IF(Ondergrondscenarios[[#This Row],[Scenariotype '[-']]]="-","",IF(Ondergrondscenarios[[#This Row],[Scenariotype '[-']]]="Pleistoceen",VLOOKUP(Ondergrondscenarios[[#This Row],[Vaknaam '[-']]],DataDijkvakken[#All],8,FALSE),VLOOKUP(Ondergrondscenarios[[#This Row],[Vaknaam '[-']]],DataDijkvakken[#All],7,FALSE)))</f>
        <v>2.8000000000000003E-4</v>
      </c>
      <c r="Z76">
        <f>VLOOKUP($C76,DataDijkvakken[#All],3,FALSE)</f>
        <v>18</v>
      </c>
      <c r="AA76" s="8"/>
    </row>
    <row r="77" spans="1:27" x14ac:dyDescent="0.3">
      <c r="A77">
        <f>IFERROR(IF(Ondergrondscenarios[[#This Row],[Scenarionaam '[-']]]="","",A76+1),1)</f>
        <v>76</v>
      </c>
      <c r="B77">
        <f>A79/6</f>
        <v>13</v>
      </c>
      <c r="C77" t="str">
        <f>VLOOKUP(Ondergrondscenarios[[#This Row],[VakID '[-']]],DataDijkvakken!A:I,2,FALSE)</f>
        <v>05b</v>
      </c>
      <c r="D77" s="8" t="str">
        <f>GenererenScenarios!$B$6</f>
        <v>P_S4</v>
      </c>
      <c r="E77" s="8" t="str">
        <f>GenererenScenarios!$C$6</f>
        <v>-</v>
      </c>
      <c r="F77" s="26">
        <v>0.5</v>
      </c>
      <c r="G77" s="29">
        <f>VLOOKUP($C77,DataDijkvakken!$B:$G,2,FALSE)</f>
        <v>2.0815784516129026</v>
      </c>
      <c r="H77" s="7"/>
      <c r="I77" s="7"/>
      <c r="J77" s="29">
        <v>-7</v>
      </c>
      <c r="K77" s="29">
        <f t="shared" si="12"/>
        <v>9.0815784516129021</v>
      </c>
      <c r="L77" s="7">
        <v>0</v>
      </c>
      <c r="M77" s="29">
        <f>IF(Ondergrondscenarios[[#This Row],[Scenariotype '[-']]]="Tussenzandlaag",0,VLOOKUP($C77,DataDijkvakken[#All],4,FALSE))</f>
        <v>49.5</v>
      </c>
      <c r="N77" s="29">
        <f t="shared" si="13"/>
        <v>49.5</v>
      </c>
      <c r="O77" s="29">
        <f>VLOOKUP($C77,DataDijkvakken!$B:$G,5,FALSE)</f>
        <v>15</v>
      </c>
      <c r="P77" s="29">
        <f>VLOOKUP($C77,DataDijkvakken!$B:$G,6,FALSE)</f>
        <v>42.676767676767675</v>
      </c>
      <c r="Q77" s="29">
        <f t="shared" si="14"/>
        <v>42.676767676767675</v>
      </c>
      <c r="R77" s="7">
        <v>2112.5</v>
      </c>
      <c r="S77" s="27"/>
      <c r="T77" s="32">
        <f t="shared" si="15"/>
        <v>0</v>
      </c>
      <c r="U77" s="27"/>
      <c r="V77">
        <f t="shared" si="16"/>
        <v>773.1578451612902</v>
      </c>
      <c r="W77" s="31">
        <f t="shared" si="17"/>
        <v>1278.0046744449824</v>
      </c>
      <c r="X77" s="33"/>
      <c r="Y77" t="str">
        <f>IF(Ondergrondscenarios[[#This Row],[Scenariotype '[-']]]="-","",IF(Ondergrondscenarios[[#This Row],[Scenariotype '[-']]]="Pleistoceen",VLOOKUP(Ondergrondscenarios[[#This Row],[Vaknaam '[-']]],DataDijkvakken[#All],8,FALSE),VLOOKUP(Ondergrondscenarios[[#This Row],[Vaknaam '[-']]],DataDijkvakken[#All],7,FALSE)))</f>
        <v/>
      </c>
      <c r="Z77">
        <f>VLOOKUP($C77,DataDijkvakken[#All],3,FALSE)</f>
        <v>18</v>
      </c>
      <c r="AA77" s="8"/>
    </row>
    <row r="78" spans="1:27" x14ac:dyDescent="0.3">
      <c r="A78">
        <f>IFERROR(IF(Ondergrondscenarios[[#This Row],[Scenarionaam '[-']]]="","",A77+1),1)</f>
        <v>77</v>
      </c>
      <c r="B78">
        <f>A79/6</f>
        <v>13</v>
      </c>
      <c r="C78" t="str">
        <f>VLOOKUP(Ondergrondscenarios[[#This Row],[VakID '[-']]],DataDijkvakken!A:I,2,FALSE)</f>
        <v>05b</v>
      </c>
      <c r="D78" s="8" t="str">
        <f>GenererenScenarios!$B$7</f>
        <v>P_S5</v>
      </c>
      <c r="E78" s="8" t="str">
        <f>GenererenScenarios!$C$7</f>
        <v>-</v>
      </c>
      <c r="F78" s="26">
        <v>0</v>
      </c>
      <c r="G78" s="29">
        <f>VLOOKUP($C78,DataDijkvakken!$B:$G,2,FALSE)</f>
        <v>2.0815784516129026</v>
      </c>
      <c r="H78" s="7"/>
      <c r="I78" s="7"/>
      <c r="J78" s="29"/>
      <c r="K78" s="29">
        <f t="shared" si="12"/>
        <v>2.0815784516129026</v>
      </c>
      <c r="L78" s="7"/>
      <c r="M78" s="29">
        <f>IF(Ondergrondscenarios[[#This Row],[Scenariotype '[-']]]="Tussenzandlaag",0,VLOOKUP($C78,DataDijkvakken[#All],4,FALSE))</f>
        <v>49.5</v>
      </c>
      <c r="N78" s="29">
        <f t="shared" si="13"/>
        <v>49.5</v>
      </c>
      <c r="O78" s="29">
        <f>VLOOKUP($C78,DataDijkvakken!$B:$G,5,FALSE)</f>
        <v>15</v>
      </c>
      <c r="P78" s="29">
        <f>VLOOKUP($C78,DataDijkvakken!$B:$G,6,FALSE)</f>
        <v>42.676767676767675</v>
      </c>
      <c r="Q78" s="29">
        <f t="shared" si="14"/>
        <v>42.676767676767675</v>
      </c>
      <c r="R78" s="7">
        <v>2112.5</v>
      </c>
      <c r="S78" s="27"/>
      <c r="T78" s="32">
        <f t="shared" si="15"/>
        <v>0</v>
      </c>
      <c r="U78" s="27"/>
      <c r="V78">
        <f t="shared" si="16"/>
        <v>73.157845161290254</v>
      </c>
      <c r="W78" s="31">
        <f t="shared" si="17"/>
        <v>393.12332403868595</v>
      </c>
      <c r="X78" s="33"/>
      <c r="Y78" t="str">
        <f>IF(Ondergrondscenarios[[#This Row],[Scenariotype '[-']]]="-","",IF(Ondergrondscenarios[[#This Row],[Scenariotype '[-']]]="Pleistoceen",VLOOKUP(Ondergrondscenarios[[#This Row],[Vaknaam '[-']]],DataDijkvakken[#All],8,FALSE),VLOOKUP(Ondergrondscenarios[[#This Row],[Vaknaam '[-']]],DataDijkvakken[#All],7,FALSE)))</f>
        <v/>
      </c>
      <c r="Z78">
        <f>VLOOKUP($C78,DataDijkvakken[#All],3,FALSE)</f>
        <v>18</v>
      </c>
      <c r="AA78" s="8"/>
    </row>
    <row r="79" spans="1:27" x14ac:dyDescent="0.3">
      <c r="A79">
        <f>IFERROR(IF(Ondergrondscenarios[[#This Row],[Scenarionaam '[-']]]="","",A78+1),1)</f>
        <v>78</v>
      </c>
      <c r="B79">
        <f>A79/6</f>
        <v>13</v>
      </c>
      <c r="C79" t="str">
        <f>VLOOKUP(Ondergrondscenarios[[#This Row],[VakID '[-']]],DataDijkvakken!A:I,2,FALSE)</f>
        <v>05b</v>
      </c>
      <c r="D79" s="8" t="str">
        <f>GenererenScenarios!$B$8</f>
        <v>P_S6</v>
      </c>
      <c r="E79" s="8" t="str">
        <f>GenererenScenarios!$C$8</f>
        <v>-</v>
      </c>
      <c r="F79" s="26">
        <v>0</v>
      </c>
      <c r="G79" s="29">
        <f>VLOOKUP($C79,DataDijkvakken!$B:$G,2,FALSE)</f>
        <v>2.0815784516129026</v>
      </c>
      <c r="H79" s="7"/>
      <c r="I79" s="7"/>
      <c r="J79" s="29"/>
      <c r="K79" s="29">
        <f t="shared" si="12"/>
        <v>2.0815784516129026</v>
      </c>
      <c r="L79" s="7"/>
      <c r="M79" s="29">
        <f>IF(Ondergrondscenarios[[#This Row],[Scenariotype '[-']]]="Tussenzandlaag",0,VLOOKUP($C79,DataDijkvakken[#All],4,FALSE))</f>
        <v>49.5</v>
      </c>
      <c r="N79" s="29">
        <f t="shared" si="13"/>
        <v>49.5</v>
      </c>
      <c r="O79" s="29">
        <f>VLOOKUP($C79,DataDijkvakken!$B:$G,5,FALSE)</f>
        <v>15</v>
      </c>
      <c r="P79" s="29">
        <f>VLOOKUP($C79,DataDijkvakken!$B:$G,6,FALSE)</f>
        <v>42.676767676767675</v>
      </c>
      <c r="Q79" s="29">
        <f t="shared" si="14"/>
        <v>42.676767676767675</v>
      </c>
      <c r="R79" s="7">
        <v>2112.5</v>
      </c>
      <c r="S79" s="27"/>
      <c r="T79" s="32">
        <f t="shared" si="15"/>
        <v>0</v>
      </c>
      <c r="U79" s="27"/>
      <c r="V79">
        <f t="shared" si="16"/>
        <v>73.157845161290254</v>
      </c>
      <c r="W79" s="31">
        <f t="shared" si="17"/>
        <v>393.12332403868595</v>
      </c>
      <c r="X79" s="33"/>
      <c r="Y79" t="str">
        <f>IF(Ondergrondscenarios[[#This Row],[Scenariotype '[-']]]="-","",IF(Ondergrondscenarios[[#This Row],[Scenariotype '[-']]]="Pleistoceen",VLOOKUP(Ondergrondscenarios[[#This Row],[Vaknaam '[-']]],DataDijkvakken[#All],8,FALSE),VLOOKUP(Ondergrondscenarios[[#This Row],[Vaknaam '[-']]],DataDijkvakken[#All],7,FALSE)))</f>
        <v/>
      </c>
      <c r="Z79">
        <f>VLOOKUP($C79,DataDijkvakken[#All],3,FALSE)</f>
        <v>18</v>
      </c>
      <c r="AA79" s="8"/>
    </row>
    <row r="80" spans="1:27" x14ac:dyDescent="0.3">
      <c r="A80">
        <f>IFERROR(IF(Ondergrondscenarios[[#This Row],[Scenarionaam '[-']]]="","",A79+1),1)</f>
        <v>79</v>
      </c>
      <c r="B80">
        <f>A85/6</f>
        <v>14</v>
      </c>
      <c r="C80" t="str">
        <f>VLOOKUP(Ondergrondscenarios[[#This Row],[VakID '[-']]],DataDijkvakken!A:I,2,FALSE)</f>
        <v>05c</v>
      </c>
      <c r="D80" s="8" t="str">
        <f>GenererenScenarios!$B$3</f>
        <v>P_S1_PL</v>
      </c>
      <c r="E80" s="8" t="str">
        <f>GenererenScenarios!$C$3</f>
        <v>Pleistoceen</v>
      </c>
      <c r="F80" s="26">
        <v>0.7</v>
      </c>
      <c r="G80" s="29">
        <f>VLOOKUP($C80,DataDijkvakken!$B:$G,2,FALSE)</f>
        <v>1.7674078055555558</v>
      </c>
      <c r="H80" s="7"/>
      <c r="I80" s="7"/>
      <c r="J80" s="29">
        <v>-5</v>
      </c>
      <c r="K80" s="29">
        <f t="shared" si="12"/>
        <v>6.767407805555556</v>
      </c>
      <c r="L80" s="7">
        <v>0</v>
      </c>
      <c r="M80" s="29">
        <f>IF(Ondergrondscenarios[[#This Row],[Scenariotype '[-']]]="Tussenzandlaag",0,VLOOKUP($C80,DataDijkvakken[#All],4,FALSE))</f>
        <v>44</v>
      </c>
      <c r="N80" s="29">
        <f t="shared" si="13"/>
        <v>44</v>
      </c>
      <c r="O80" s="29">
        <f>VLOOKUP($C80,DataDijkvakken!$B:$G,5,FALSE)</f>
        <v>15</v>
      </c>
      <c r="P80" s="29">
        <f>VLOOKUP($C80,DataDijkvakken!$B:$G,6,FALSE)</f>
        <v>42.897727272727273</v>
      </c>
      <c r="Q80" s="29">
        <f t="shared" si="14"/>
        <v>42.897727272727273</v>
      </c>
      <c r="R80" s="7">
        <v>1887.5</v>
      </c>
      <c r="S80" s="27"/>
      <c r="T80" s="32">
        <f t="shared" si="15"/>
        <v>0</v>
      </c>
      <c r="U80" s="27"/>
      <c r="V80">
        <f t="shared" si="16"/>
        <v>541.7407805555556</v>
      </c>
      <c r="W80" s="31">
        <f t="shared" si="17"/>
        <v>1011.2050846878744</v>
      </c>
      <c r="X80" s="33"/>
      <c r="Y80">
        <f>IF(Ondergrondscenarios[[#This Row],[Scenariotype '[-']]]="-","",IF(Ondergrondscenarios[[#This Row],[Scenariotype '[-']]]="Pleistoceen",VLOOKUP(Ondergrondscenarios[[#This Row],[Vaknaam '[-']]],DataDijkvakken[#All],8,FALSE),VLOOKUP(Ondergrondscenarios[[#This Row],[Vaknaam '[-']]],DataDijkvakken[#All],7,FALSE)))</f>
        <v>3.5000000000000005E-4</v>
      </c>
      <c r="Z80">
        <f>VLOOKUP($C80,DataDijkvakken[#All],3,FALSE)</f>
        <v>18</v>
      </c>
      <c r="AA80" s="8"/>
    </row>
    <row r="81" spans="1:27" x14ac:dyDescent="0.3">
      <c r="A81">
        <f>IFERROR(IF(Ondergrondscenarios[[#This Row],[Scenarionaam '[-']]]="","",A80+1),1)</f>
        <v>80</v>
      </c>
      <c r="B81">
        <f>A85/6</f>
        <v>14</v>
      </c>
      <c r="C81" t="str">
        <f>VLOOKUP(Ondergrondscenarios[[#This Row],[VakID '[-']]],DataDijkvakken!A:I,2,FALSE)</f>
        <v>05c</v>
      </c>
      <c r="D81" s="8" t="str">
        <f>GenererenScenarios!$B$4</f>
        <v>P_S2_HL_F</v>
      </c>
      <c r="E81" s="8" t="str">
        <f>GenererenScenarios!$C$4</f>
        <v>Holoceen</v>
      </c>
      <c r="F81" s="26">
        <v>0.3</v>
      </c>
      <c r="G81" s="29">
        <f>VLOOKUP($C81,DataDijkvakken!$B:$G,2,FALSE)</f>
        <v>1.7674078055555558</v>
      </c>
      <c r="H81" s="7"/>
      <c r="I81" s="7"/>
      <c r="J81" s="29">
        <v>0</v>
      </c>
      <c r="K81" s="29">
        <f t="shared" si="12"/>
        <v>1.7674078055555558</v>
      </c>
      <c r="L81" s="7">
        <v>5</v>
      </c>
      <c r="M81" s="29">
        <f>IF(Ondergrondscenarios[[#This Row],[Scenariotype '[-']]]="Tussenzandlaag",0,VLOOKUP($C81,DataDijkvakken[#All],4,FALSE))</f>
        <v>44</v>
      </c>
      <c r="N81" s="29">
        <f t="shared" si="13"/>
        <v>49</v>
      </c>
      <c r="O81" s="29">
        <f>VLOOKUP($C81,DataDijkvakken!$B:$G,5,FALSE)</f>
        <v>15</v>
      </c>
      <c r="P81" s="29">
        <f>VLOOKUP($C81,DataDijkvakken!$B:$G,6,FALSE)</f>
        <v>42.897727272727273</v>
      </c>
      <c r="Q81" s="29">
        <f t="shared" si="14"/>
        <v>40.051020408163268</v>
      </c>
      <c r="R81" s="7">
        <v>1962.5000000000002</v>
      </c>
      <c r="S81" s="27"/>
      <c r="T81" s="32">
        <f t="shared" si="15"/>
        <v>0</v>
      </c>
      <c r="U81" s="27"/>
      <c r="V81">
        <f t="shared" si="16"/>
        <v>41.740780555555574</v>
      </c>
      <c r="W81" s="31">
        <f t="shared" si="17"/>
        <v>286.21020568854254</v>
      </c>
      <c r="X81" s="33"/>
      <c r="Y81">
        <f>IF(Ondergrondscenarios[[#This Row],[Scenariotype '[-']]]="-","",IF(Ondergrondscenarios[[#This Row],[Scenariotype '[-']]]="Pleistoceen",VLOOKUP(Ondergrondscenarios[[#This Row],[Vaknaam '[-']]],DataDijkvakken[#All],8,FALSE),VLOOKUP(Ondergrondscenarios[[#This Row],[Vaknaam '[-']]],DataDijkvakken[#All],7,FALSE)))</f>
        <v>2.8000000000000003E-4</v>
      </c>
      <c r="Z81">
        <f>VLOOKUP($C81,DataDijkvakken[#All],3,FALSE)</f>
        <v>18</v>
      </c>
      <c r="AA81" s="8"/>
    </row>
    <row r="82" spans="1:27" x14ac:dyDescent="0.3">
      <c r="A82">
        <f>IFERROR(IF(Ondergrondscenarios[[#This Row],[Scenarionaam '[-']]]="","",A81+1),1)</f>
        <v>81</v>
      </c>
      <c r="B82">
        <f>A85/6</f>
        <v>14</v>
      </c>
      <c r="C82" t="str">
        <f>VLOOKUP(Ondergrondscenarios[[#This Row],[VakID '[-']]],DataDijkvakken!A:I,2,FALSE)</f>
        <v>05c</v>
      </c>
      <c r="D82" s="8" t="str">
        <f>GenererenScenarios!$B$5</f>
        <v>P_S3_HL_TZ</v>
      </c>
      <c r="E82" s="8" t="str">
        <f>GenererenScenarios!$C$5</f>
        <v>Tussenzandlaag</v>
      </c>
      <c r="F82" s="26">
        <v>0</v>
      </c>
      <c r="G82" s="29">
        <f>VLOOKUP($C82,DataDijkvakken!$B:$G,2,FALSE)</f>
        <v>1.7674078055555558</v>
      </c>
      <c r="H82" s="7"/>
      <c r="I82" s="7"/>
      <c r="J82" s="29"/>
      <c r="K82" s="29">
        <f t="shared" si="12"/>
        <v>1.7674078055555558</v>
      </c>
      <c r="L82" s="7"/>
      <c r="M82" s="29">
        <f>IF(Ondergrondscenarios[[#This Row],[Scenariotype '[-']]]="Tussenzandlaag",0,VLOOKUP($C82,DataDijkvakken[#All],4,FALSE))</f>
        <v>0</v>
      </c>
      <c r="N82" s="29">
        <f t="shared" si="13"/>
        <v>0.1</v>
      </c>
      <c r="O82" s="29">
        <f>VLOOKUP($C82,DataDijkvakken!$B:$G,5,FALSE)</f>
        <v>15</v>
      </c>
      <c r="P82" s="29">
        <f>VLOOKUP($C82,DataDijkvakken!$B:$G,6,FALSE)</f>
        <v>42.897727272727273</v>
      </c>
      <c r="Q82" s="29">
        <f t="shared" si="14"/>
        <v>0.1</v>
      </c>
      <c r="R82" s="7">
        <v>1.0000000000000002E-2</v>
      </c>
      <c r="S82" s="27"/>
      <c r="T82" s="32">
        <f t="shared" si="15"/>
        <v>0</v>
      </c>
      <c r="U82" s="27"/>
      <c r="V82">
        <f t="shared" si="16"/>
        <v>41.740780555555574</v>
      </c>
      <c r="W82" s="31">
        <f t="shared" si="17"/>
        <v>0.64607105302401213</v>
      </c>
      <c r="X82" s="33"/>
      <c r="Y82">
        <f>IF(Ondergrondscenarios[[#This Row],[Scenariotype '[-']]]="-","",IF(Ondergrondscenarios[[#This Row],[Scenariotype '[-']]]="Pleistoceen",VLOOKUP(Ondergrondscenarios[[#This Row],[Vaknaam '[-']]],DataDijkvakken[#All],8,FALSE),VLOOKUP(Ondergrondscenarios[[#This Row],[Vaknaam '[-']]],DataDijkvakken[#All],7,FALSE)))</f>
        <v>2.8000000000000003E-4</v>
      </c>
      <c r="Z82">
        <f>VLOOKUP($C82,DataDijkvakken[#All],3,FALSE)</f>
        <v>18</v>
      </c>
      <c r="AA82" s="8"/>
    </row>
    <row r="83" spans="1:27" x14ac:dyDescent="0.3">
      <c r="A83">
        <f>IFERROR(IF(Ondergrondscenarios[[#This Row],[Scenarionaam '[-']]]="","",A82+1),1)</f>
        <v>82</v>
      </c>
      <c r="B83">
        <f>A85/6</f>
        <v>14</v>
      </c>
      <c r="C83" t="str">
        <f>VLOOKUP(Ondergrondscenarios[[#This Row],[VakID '[-']]],DataDijkvakken!A:I,2,FALSE)</f>
        <v>05c</v>
      </c>
      <c r="D83" s="8" t="str">
        <f>GenererenScenarios!$B$6</f>
        <v>P_S4</v>
      </c>
      <c r="E83" s="8" t="str">
        <f>GenererenScenarios!$C$6</f>
        <v>-</v>
      </c>
      <c r="F83" s="26">
        <v>0</v>
      </c>
      <c r="G83" s="29">
        <f>VLOOKUP($C83,DataDijkvakken!$B:$G,2,FALSE)</f>
        <v>1.7674078055555558</v>
      </c>
      <c r="H83" s="7"/>
      <c r="I83" s="7"/>
      <c r="J83" s="29"/>
      <c r="K83" s="29">
        <f t="shared" si="12"/>
        <v>1.7674078055555558</v>
      </c>
      <c r="L83" s="7"/>
      <c r="M83" s="29">
        <f>IF(Ondergrondscenarios[[#This Row],[Scenariotype '[-']]]="Tussenzandlaag",0,VLOOKUP($C83,DataDijkvakken[#All],4,FALSE))</f>
        <v>44</v>
      </c>
      <c r="N83" s="29">
        <f t="shared" si="13"/>
        <v>44</v>
      </c>
      <c r="O83" s="29">
        <f>VLOOKUP($C83,DataDijkvakken!$B:$G,5,FALSE)</f>
        <v>15</v>
      </c>
      <c r="P83" s="29">
        <f>VLOOKUP($C83,DataDijkvakken!$B:$G,6,FALSE)</f>
        <v>42.897727272727273</v>
      </c>
      <c r="Q83" s="29">
        <f t="shared" si="14"/>
        <v>42.897727272727273</v>
      </c>
      <c r="R83" s="7">
        <v>1887.5</v>
      </c>
      <c r="S83" s="27"/>
      <c r="T83" s="32">
        <f t="shared" si="15"/>
        <v>0</v>
      </c>
      <c r="U83" s="27"/>
      <c r="V83">
        <f t="shared" si="16"/>
        <v>41.740780555555574</v>
      </c>
      <c r="W83" s="31">
        <f t="shared" si="17"/>
        <v>280.68794647902348</v>
      </c>
      <c r="X83" s="33"/>
      <c r="Y83" t="str">
        <f>IF(Ondergrondscenarios[[#This Row],[Scenariotype '[-']]]="-","",IF(Ondergrondscenarios[[#This Row],[Scenariotype '[-']]]="Pleistoceen",VLOOKUP(Ondergrondscenarios[[#This Row],[Vaknaam '[-']]],DataDijkvakken[#All],8,FALSE),VLOOKUP(Ondergrondscenarios[[#This Row],[Vaknaam '[-']]],DataDijkvakken[#All],7,FALSE)))</f>
        <v/>
      </c>
      <c r="Z83">
        <f>VLOOKUP($C83,DataDijkvakken[#All],3,FALSE)</f>
        <v>18</v>
      </c>
      <c r="AA83" s="8"/>
    </row>
    <row r="84" spans="1:27" x14ac:dyDescent="0.3">
      <c r="A84">
        <f>IFERROR(IF(Ondergrondscenarios[[#This Row],[Scenarionaam '[-']]]="","",A83+1),1)</f>
        <v>83</v>
      </c>
      <c r="B84">
        <f>A85/6</f>
        <v>14</v>
      </c>
      <c r="C84" t="str">
        <f>VLOOKUP(Ondergrondscenarios[[#This Row],[VakID '[-']]],DataDijkvakken!A:I,2,FALSE)</f>
        <v>05c</v>
      </c>
      <c r="D84" s="8" t="str">
        <f>GenererenScenarios!$B$7</f>
        <v>P_S5</v>
      </c>
      <c r="E84" s="8" t="str">
        <f>GenererenScenarios!$C$7</f>
        <v>-</v>
      </c>
      <c r="F84" s="26">
        <v>0</v>
      </c>
      <c r="G84" s="29">
        <f>VLOOKUP($C84,DataDijkvakken!$B:$G,2,FALSE)</f>
        <v>1.7674078055555558</v>
      </c>
      <c r="H84" s="7"/>
      <c r="I84" s="7"/>
      <c r="J84" s="29"/>
      <c r="K84" s="29">
        <f t="shared" si="12"/>
        <v>1.7674078055555558</v>
      </c>
      <c r="L84" s="7"/>
      <c r="M84" s="29">
        <f>IF(Ondergrondscenarios[[#This Row],[Scenariotype '[-']]]="Tussenzandlaag",0,VLOOKUP($C84,DataDijkvakken[#All],4,FALSE))</f>
        <v>44</v>
      </c>
      <c r="N84" s="29">
        <f t="shared" si="13"/>
        <v>44</v>
      </c>
      <c r="O84" s="29">
        <f>VLOOKUP($C84,DataDijkvakken!$B:$G,5,FALSE)</f>
        <v>15</v>
      </c>
      <c r="P84" s="29">
        <f>VLOOKUP($C84,DataDijkvakken!$B:$G,6,FALSE)</f>
        <v>42.897727272727273</v>
      </c>
      <c r="Q84" s="29">
        <f t="shared" si="14"/>
        <v>42.897727272727273</v>
      </c>
      <c r="R84" s="7">
        <v>1887.5</v>
      </c>
      <c r="S84" s="27"/>
      <c r="T84" s="32">
        <f t="shared" si="15"/>
        <v>0</v>
      </c>
      <c r="U84" s="27"/>
      <c r="V84">
        <f t="shared" si="16"/>
        <v>41.740780555555574</v>
      </c>
      <c r="W84" s="31">
        <f t="shared" si="17"/>
        <v>280.68794647902348</v>
      </c>
      <c r="X84" s="33"/>
      <c r="Y84" t="str">
        <f>IF(Ondergrondscenarios[[#This Row],[Scenariotype '[-']]]="-","",IF(Ondergrondscenarios[[#This Row],[Scenariotype '[-']]]="Pleistoceen",VLOOKUP(Ondergrondscenarios[[#This Row],[Vaknaam '[-']]],DataDijkvakken[#All],8,FALSE),VLOOKUP(Ondergrondscenarios[[#This Row],[Vaknaam '[-']]],DataDijkvakken[#All],7,FALSE)))</f>
        <v/>
      </c>
      <c r="Z84">
        <f>VLOOKUP($C84,DataDijkvakken[#All],3,FALSE)</f>
        <v>18</v>
      </c>
      <c r="AA84" s="8"/>
    </row>
    <row r="85" spans="1:27" x14ac:dyDescent="0.3">
      <c r="A85">
        <f>IFERROR(IF(Ondergrondscenarios[[#This Row],[Scenarionaam '[-']]]="","",A84+1),1)</f>
        <v>84</v>
      </c>
      <c r="B85">
        <f>A85/6</f>
        <v>14</v>
      </c>
      <c r="C85" t="str">
        <f>VLOOKUP(Ondergrondscenarios[[#This Row],[VakID '[-']]],DataDijkvakken!A:I,2,FALSE)</f>
        <v>05c</v>
      </c>
      <c r="D85" s="8" t="str">
        <f>GenererenScenarios!$B$8</f>
        <v>P_S6</v>
      </c>
      <c r="E85" s="8" t="str">
        <f>GenererenScenarios!$C$8</f>
        <v>-</v>
      </c>
      <c r="F85" s="26">
        <v>0</v>
      </c>
      <c r="G85" s="29">
        <f>VLOOKUP($C85,DataDijkvakken!$B:$G,2,FALSE)</f>
        <v>1.7674078055555558</v>
      </c>
      <c r="H85" s="7"/>
      <c r="I85" s="7"/>
      <c r="J85" s="29"/>
      <c r="K85" s="29">
        <f t="shared" si="12"/>
        <v>1.7674078055555558</v>
      </c>
      <c r="L85" s="7"/>
      <c r="M85" s="29">
        <f>IF(Ondergrondscenarios[[#This Row],[Scenariotype '[-']]]="Tussenzandlaag",0,VLOOKUP($C85,DataDijkvakken[#All],4,FALSE))</f>
        <v>44</v>
      </c>
      <c r="N85" s="29">
        <f t="shared" si="13"/>
        <v>44</v>
      </c>
      <c r="O85" s="29">
        <f>VLOOKUP($C85,DataDijkvakken!$B:$G,5,FALSE)</f>
        <v>15</v>
      </c>
      <c r="P85" s="29">
        <f>VLOOKUP($C85,DataDijkvakken!$B:$G,6,FALSE)</f>
        <v>42.897727272727273</v>
      </c>
      <c r="Q85" s="29">
        <f t="shared" si="14"/>
        <v>42.897727272727273</v>
      </c>
      <c r="R85" s="7">
        <v>1887.5</v>
      </c>
      <c r="S85" s="27"/>
      <c r="T85" s="32">
        <f t="shared" si="15"/>
        <v>0</v>
      </c>
      <c r="U85" s="27"/>
      <c r="V85">
        <f t="shared" si="16"/>
        <v>41.740780555555574</v>
      </c>
      <c r="W85" s="31">
        <f t="shared" si="17"/>
        <v>280.68794647902348</v>
      </c>
      <c r="X85" s="33"/>
      <c r="Y85" t="str">
        <f>IF(Ondergrondscenarios[[#This Row],[Scenariotype '[-']]]="-","",IF(Ondergrondscenarios[[#This Row],[Scenariotype '[-']]]="Pleistoceen",VLOOKUP(Ondergrondscenarios[[#This Row],[Vaknaam '[-']]],DataDijkvakken[#All],8,FALSE),VLOOKUP(Ondergrondscenarios[[#This Row],[Vaknaam '[-']]],DataDijkvakken[#All],7,FALSE)))</f>
        <v/>
      </c>
      <c r="Z85">
        <f>VLOOKUP($C85,DataDijkvakken[#All],3,FALSE)</f>
        <v>18</v>
      </c>
      <c r="AA85" s="8"/>
    </row>
    <row r="86" spans="1:27" x14ac:dyDescent="0.3">
      <c r="A86">
        <f>IFERROR(IF(Ondergrondscenarios[[#This Row],[Scenarionaam '[-']]]="","",A85+1),1)</f>
        <v>85</v>
      </c>
      <c r="B86">
        <f>A91/6</f>
        <v>15</v>
      </c>
      <c r="C86" t="str">
        <f>VLOOKUP(Ondergrondscenarios[[#This Row],[VakID '[-']]],DataDijkvakken!A:I,2,FALSE)</f>
        <v>05d</v>
      </c>
      <c r="D86" s="8" t="str">
        <f>GenererenScenarios!$B$3</f>
        <v>P_S1_PL</v>
      </c>
      <c r="E86" s="8" t="str">
        <f>GenererenScenarios!$C$3</f>
        <v>Pleistoceen</v>
      </c>
      <c r="F86" s="26">
        <v>0.5</v>
      </c>
      <c r="G86" s="29">
        <f>VLOOKUP($C86,DataDijkvakken!$B:$G,2,FALSE)</f>
        <v>2.0242183636363635</v>
      </c>
      <c r="H86" s="7"/>
      <c r="I86" s="7"/>
      <c r="J86" s="29">
        <v>-6</v>
      </c>
      <c r="K86" s="29">
        <f t="shared" si="12"/>
        <v>8.0242183636363631</v>
      </c>
      <c r="L86" s="7">
        <v>0</v>
      </c>
      <c r="M86" s="29">
        <f>IF(Ondergrondscenarios[[#This Row],[Scenariotype '[-']]]="Tussenzandlaag",0,VLOOKUP($C86,DataDijkvakken[#All],4,FALSE))</f>
        <v>44</v>
      </c>
      <c r="N86" s="29">
        <f t="shared" si="13"/>
        <v>44</v>
      </c>
      <c r="O86" s="29">
        <f>VLOOKUP($C86,DataDijkvakken!$B:$G,5,FALSE)</f>
        <v>15</v>
      </c>
      <c r="P86" s="29">
        <f>VLOOKUP($C86,DataDijkvakken!$B:$G,6,FALSE)</f>
        <v>42.897727272727273</v>
      </c>
      <c r="Q86" s="29">
        <f t="shared" si="14"/>
        <v>42.897727272727273</v>
      </c>
      <c r="R86" s="7">
        <v>1887.5</v>
      </c>
      <c r="S86" s="27"/>
      <c r="T86" s="32">
        <f t="shared" si="15"/>
        <v>0</v>
      </c>
      <c r="U86" s="27"/>
      <c r="V86">
        <f t="shared" si="16"/>
        <v>667.42183636363632</v>
      </c>
      <c r="W86" s="31">
        <f t="shared" si="17"/>
        <v>1122.3897345113076</v>
      </c>
      <c r="X86" s="33"/>
      <c r="Y86">
        <f>IF(Ondergrondscenarios[[#This Row],[Scenariotype '[-']]]="-","",IF(Ondergrondscenarios[[#This Row],[Scenariotype '[-']]]="Pleistoceen",VLOOKUP(Ondergrondscenarios[[#This Row],[Vaknaam '[-']]],DataDijkvakken[#All],8,FALSE),VLOOKUP(Ondergrondscenarios[[#This Row],[Vaknaam '[-']]],DataDijkvakken[#All],7,FALSE)))</f>
        <v>3.5000000000000005E-4</v>
      </c>
      <c r="Z86">
        <f>VLOOKUP($C86,DataDijkvakken[#All],3,FALSE)</f>
        <v>18</v>
      </c>
      <c r="AA86" s="8"/>
    </row>
    <row r="87" spans="1:27" x14ac:dyDescent="0.3">
      <c r="A87">
        <f>IFERROR(IF(Ondergrondscenarios[[#This Row],[Scenarionaam '[-']]]="","",A86+1),1)</f>
        <v>86</v>
      </c>
      <c r="B87">
        <f>A91/6</f>
        <v>15</v>
      </c>
      <c r="C87" t="str">
        <f>VLOOKUP(Ondergrondscenarios[[#This Row],[VakID '[-']]],DataDijkvakken!A:I,2,FALSE)</f>
        <v>05d</v>
      </c>
      <c r="D87" s="8" t="str">
        <f>GenererenScenarios!$B$4</f>
        <v>P_S2_HL_F</v>
      </c>
      <c r="E87" s="8" t="str">
        <f>GenererenScenarios!$C$4</f>
        <v>Holoceen</v>
      </c>
      <c r="F87" s="26">
        <v>0.5</v>
      </c>
      <c r="G87" s="29">
        <f>VLOOKUP($C87,DataDijkvakken!$B:$G,2,FALSE)</f>
        <v>2.0242183636363635</v>
      </c>
      <c r="H87" s="7"/>
      <c r="I87" s="7"/>
      <c r="J87" s="29">
        <v>0</v>
      </c>
      <c r="K87" s="29">
        <f t="shared" si="12"/>
        <v>2.0242183636363635</v>
      </c>
      <c r="L87" s="7">
        <v>5</v>
      </c>
      <c r="M87" s="29">
        <f>IF(Ondergrondscenarios[[#This Row],[Scenariotype '[-']]]="Tussenzandlaag",0,VLOOKUP($C87,DataDijkvakken[#All],4,FALSE))</f>
        <v>44</v>
      </c>
      <c r="N87" s="29">
        <f t="shared" si="13"/>
        <v>49</v>
      </c>
      <c r="O87" s="29">
        <f>VLOOKUP($C87,DataDijkvakken!$B:$G,5,FALSE)</f>
        <v>15</v>
      </c>
      <c r="P87" s="29">
        <f>VLOOKUP($C87,DataDijkvakken!$B:$G,6,FALSE)</f>
        <v>42.897727272727273</v>
      </c>
      <c r="Q87" s="29">
        <f t="shared" si="14"/>
        <v>40.051020408163268</v>
      </c>
      <c r="R87" s="7">
        <v>1962.5000000000002</v>
      </c>
      <c r="S87" s="27"/>
      <c r="T87" s="32">
        <f t="shared" si="15"/>
        <v>0</v>
      </c>
      <c r="U87" s="27"/>
      <c r="V87">
        <f t="shared" si="16"/>
        <v>67.421836363636345</v>
      </c>
      <c r="W87" s="31">
        <f t="shared" si="17"/>
        <v>363.75177506595946</v>
      </c>
      <c r="X87" s="33"/>
      <c r="Y87">
        <f>IF(Ondergrondscenarios[[#This Row],[Scenariotype '[-']]]="-","",IF(Ondergrondscenarios[[#This Row],[Scenariotype '[-']]]="Pleistoceen",VLOOKUP(Ondergrondscenarios[[#This Row],[Vaknaam '[-']]],DataDijkvakken[#All],8,FALSE),VLOOKUP(Ondergrondscenarios[[#This Row],[Vaknaam '[-']]],DataDijkvakken[#All],7,FALSE)))</f>
        <v>2.8000000000000003E-4</v>
      </c>
      <c r="Z87">
        <f>VLOOKUP($C87,DataDijkvakken[#All],3,FALSE)</f>
        <v>18</v>
      </c>
      <c r="AA87" s="8"/>
    </row>
    <row r="88" spans="1:27" x14ac:dyDescent="0.3">
      <c r="A88">
        <f>IFERROR(IF(Ondergrondscenarios[[#This Row],[Scenarionaam '[-']]]="","",A87+1),1)</f>
        <v>87</v>
      </c>
      <c r="B88">
        <f>A91/6</f>
        <v>15</v>
      </c>
      <c r="C88" t="str">
        <f>VLOOKUP(Ondergrondscenarios[[#This Row],[VakID '[-']]],DataDijkvakken!A:I,2,FALSE)</f>
        <v>05d</v>
      </c>
      <c r="D88" s="8" t="str">
        <f>GenererenScenarios!$B$5</f>
        <v>P_S3_HL_TZ</v>
      </c>
      <c r="E88" s="8" t="str">
        <f>GenererenScenarios!$C$5</f>
        <v>Tussenzandlaag</v>
      </c>
      <c r="F88" s="26">
        <v>0</v>
      </c>
      <c r="G88" s="29">
        <f>VLOOKUP($C88,DataDijkvakken!$B:$G,2,FALSE)</f>
        <v>2.0242183636363635</v>
      </c>
      <c r="H88" s="7"/>
      <c r="I88" s="7"/>
      <c r="J88" s="29"/>
      <c r="K88" s="29">
        <f t="shared" si="12"/>
        <v>2.0242183636363635</v>
      </c>
      <c r="L88" s="7"/>
      <c r="M88" s="29">
        <f>IF(Ondergrondscenarios[[#This Row],[Scenariotype '[-']]]="Tussenzandlaag",0,VLOOKUP($C88,DataDijkvakken[#All],4,FALSE))</f>
        <v>0</v>
      </c>
      <c r="N88" s="29">
        <f t="shared" si="13"/>
        <v>0.1</v>
      </c>
      <c r="O88" s="29">
        <f>VLOOKUP($C88,DataDijkvakken!$B:$G,5,FALSE)</f>
        <v>15</v>
      </c>
      <c r="P88" s="29">
        <f>VLOOKUP($C88,DataDijkvakken!$B:$G,6,FALSE)</f>
        <v>42.897727272727273</v>
      </c>
      <c r="Q88" s="29">
        <f t="shared" si="14"/>
        <v>0.1</v>
      </c>
      <c r="R88" s="7">
        <v>1.0000000000000002E-2</v>
      </c>
      <c r="S88" s="27"/>
      <c r="T88" s="32">
        <f t="shared" si="15"/>
        <v>0</v>
      </c>
      <c r="U88" s="27"/>
      <c r="V88">
        <f t="shared" si="16"/>
        <v>67.421836363636345</v>
      </c>
      <c r="W88" s="31">
        <f t="shared" si="17"/>
        <v>0.82110800972610387</v>
      </c>
      <c r="X88" s="33"/>
      <c r="Y88">
        <f>IF(Ondergrondscenarios[[#This Row],[Scenariotype '[-']]]="-","",IF(Ondergrondscenarios[[#This Row],[Scenariotype '[-']]]="Pleistoceen",VLOOKUP(Ondergrondscenarios[[#This Row],[Vaknaam '[-']]],DataDijkvakken[#All],8,FALSE),VLOOKUP(Ondergrondscenarios[[#This Row],[Vaknaam '[-']]],DataDijkvakken[#All],7,FALSE)))</f>
        <v>2.8000000000000003E-4</v>
      </c>
      <c r="Z88">
        <f>VLOOKUP($C88,DataDijkvakken[#All],3,FALSE)</f>
        <v>18</v>
      </c>
      <c r="AA88" s="8"/>
    </row>
    <row r="89" spans="1:27" x14ac:dyDescent="0.3">
      <c r="A89">
        <f>IFERROR(IF(Ondergrondscenarios[[#This Row],[Scenarionaam '[-']]]="","",A88+1),1)</f>
        <v>88</v>
      </c>
      <c r="B89">
        <f>A91/6</f>
        <v>15</v>
      </c>
      <c r="C89" t="str">
        <f>VLOOKUP(Ondergrondscenarios[[#This Row],[VakID '[-']]],DataDijkvakken!A:I,2,FALSE)</f>
        <v>05d</v>
      </c>
      <c r="D89" s="8" t="str">
        <f>GenererenScenarios!$B$6</f>
        <v>P_S4</v>
      </c>
      <c r="E89" s="8" t="str">
        <f>GenererenScenarios!$C$6</f>
        <v>-</v>
      </c>
      <c r="F89" s="26">
        <v>0</v>
      </c>
      <c r="G89" s="29">
        <f>VLOOKUP($C89,DataDijkvakken!$B:$G,2,FALSE)</f>
        <v>2.0242183636363635</v>
      </c>
      <c r="H89" s="7"/>
      <c r="I89" s="7"/>
      <c r="J89" s="29"/>
      <c r="K89" s="29">
        <f t="shared" si="12"/>
        <v>2.0242183636363635</v>
      </c>
      <c r="L89" s="7"/>
      <c r="M89" s="29">
        <f>IF(Ondergrondscenarios[[#This Row],[Scenariotype '[-']]]="Tussenzandlaag",0,VLOOKUP($C89,DataDijkvakken[#All],4,FALSE))</f>
        <v>44</v>
      </c>
      <c r="N89" s="29">
        <f t="shared" si="13"/>
        <v>44</v>
      </c>
      <c r="O89" s="29">
        <f>VLOOKUP($C89,DataDijkvakken!$B:$G,5,FALSE)</f>
        <v>15</v>
      </c>
      <c r="P89" s="29">
        <f>VLOOKUP($C89,DataDijkvakken!$B:$G,6,FALSE)</f>
        <v>42.897727272727273</v>
      </c>
      <c r="Q89" s="29">
        <f t="shared" si="14"/>
        <v>42.897727272727273</v>
      </c>
      <c r="R89" s="7">
        <v>1887.5</v>
      </c>
      <c r="S89" s="27"/>
      <c r="T89" s="32">
        <f t="shared" si="15"/>
        <v>0</v>
      </c>
      <c r="U89" s="27"/>
      <c r="V89">
        <f t="shared" si="16"/>
        <v>67.421836363636345</v>
      </c>
      <c r="W89" s="31">
        <f t="shared" si="17"/>
        <v>356.73339644104476</v>
      </c>
      <c r="X89" s="33"/>
      <c r="Y89" t="str">
        <f>IF(Ondergrondscenarios[[#This Row],[Scenariotype '[-']]]="-","",IF(Ondergrondscenarios[[#This Row],[Scenariotype '[-']]]="Pleistoceen",VLOOKUP(Ondergrondscenarios[[#This Row],[Vaknaam '[-']]],DataDijkvakken[#All],8,FALSE),VLOOKUP(Ondergrondscenarios[[#This Row],[Vaknaam '[-']]],DataDijkvakken[#All],7,FALSE)))</f>
        <v/>
      </c>
      <c r="Z89">
        <f>VLOOKUP($C89,DataDijkvakken[#All],3,FALSE)</f>
        <v>18</v>
      </c>
      <c r="AA89" s="8"/>
    </row>
    <row r="90" spans="1:27" x14ac:dyDescent="0.3">
      <c r="A90">
        <f>IFERROR(IF(Ondergrondscenarios[[#This Row],[Scenarionaam '[-']]]="","",A89+1),1)</f>
        <v>89</v>
      </c>
      <c r="B90">
        <f>A91/6</f>
        <v>15</v>
      </c>
      <c r="C90" t="str">
        <f>VLOOKUP(Ondergrondscenarios[[#This Row],[VakID '[-']]],DataDijkvakken!A:I,2,FALSE)</f>
        <v>05d</v>
      </c>
      <c r="D90" s="8" t="str">
        <f>GenererenScenarios!$B$7</f>
        <v>P_S5</v>
      </c>
      <c r="E90" s="8" t="str">
        <f>GenererenScenarios!$C$7</f>
        <v>-</v>
      </c>
      <c r="F90" s="26">
        <v>0</v>
      </c>
      <c r="G90" s="29">
        <f>VLOOKUP($C90,DataDijkvakken!$B:$G,2,FALSE)</f>
        <v>2.0242183636363635</v>
      </c>
      <c r="H90" s="7"/>
      <c r="I90" s="7"/>
      <c r="J90" s="29"/>
      <c r="K90" s="29">
        <f t="shared" si="12"/>
        <v>2.0242183636363635</v>
      </c>
      <c r="L90" s="7"/>
      <c r="M90" s="29">
        <f>IF(Ondergrondscenarios[[#This Row],[Scenariotype '[-']]]="Tussenzandlaag",0,VLOOKUP($C90,DataDijkvakken[#All],4,FALSE))</f>
        <v>44</v>
      </c>
      <c r="N90" s="29">
        <f t="shared" si="13"/>
        <v>44</v>
      </c>
      <c r="O90" s="29">
        <f>VLOOKUP($C90,DataDijkvakken!$B:$G,5,FALSE)</f>
        <v>15</v>
      </c>
      <c r="P90" s="29">
        <f>VLOOKUP($C90,DataDijkvakken!$B:$G,6,FALSE)</f>
        <v>42.897727272727273</v>
      </c>
      <c r="Q90" s="29">
        <f t="shared" si="14"/>
        <v>42.897727272727273</v>
      </c>
      <c r="R90" s="7">
        <v>1887.5</v>
      </c>
      <c r="S90" s="27"/>
      <c r="T90" s="32">
        <f t="shared" si="15"/>
        <v>0</v>
      </c>
      <c r="U90" s="27"/>
      <c r="V90">
        <f t="shared" si="16"/>
        <v>67.421836363636345</v>
      </c>
      <c r="W90" s="31">
        <f t="shared" si="17"/>
        <v>356.73339644104476</v>
      </c>
      <c r="X90" s="33"/>
      <c r="Y90" t="str">
        <f>IF(Ondergrondscenarios[[#This Row],[Scenariotype '[-']]]="-","",IF(Ondergrondscenarios[[#This Row],[Scenariotype '[-']]]="Pleistoceen",VLOOKUP(Ondergrondscenarios[[#This Row],[Vaknaam '[-']]],DataDijkvakken[#All],8,FALSE),VLOOKUP(Ondergrondscenarios[[#This Row],[Vaknaam '[-']]],DataDijkvakken[#All],7,FALSE)))</f>
        <v/>
      </c>
      <c r="Z90">
        <f>VLOOKUP($C90,DataDijkvakken[#All],3,FALSE)</f>
        <v>18</v>
      </c>
      <c r="AA90" s="8"/>
    </row>
    <row r="91" spans="1:27" x14ac:dyDescent="0.3">
      <c r="A91">
        <f>IFERROR(IF(Ondergrondscenarios[[#This Row],[Scenarionaam '[-']]]="","",A90+1),1)</f>
        <v>90</v>
      </c>
      <c r="B91">
        <f>A91/6</f>
        <v>15</v>
      </c>
      <c r="C91" t="str">
        <f>VLOOKUP(Ondergrondscenarios[[#This Row],[VakID '[-']]],DataDijkvakken!A:I,2,FALSE)</f>
        <v>05d</v>
      </c>
      <c r="D91" s="8" t="str">
        <f>GenererenScenarios!$B$8</f>
        <v>P_S6</v>
      </c>
      <c r="E91" s="8" t="str">
        <f>GenererenScenarios!$C$8</f>
        <v>-</v>
      </c>
      <c r="F91" s="26">
        <v>0</v>
      </c>
      <c r="G91" s="29">
        <f>VLOOKUP($C91,DataDijkvakken!$B:$G,2,FALSE)</f>
        <v>2.0242183636363635</v>
      </c>
      <c r="H91" s="7"/>
      <c r="I91" s="7"/>
      <c r="J91" s="29"/>
      <c r="K91" s="29">
        <f t="shared" si="12"/>
        <v>2.0242183636363635</v>
      </c>
      <c r="L91" s="7"/>
      <c r="M91" s="29">
        <f>IF(Ondergrondscenarios[[#This Row],[Scenariotype '[-']]]="Tussenzandlaag",0,VLOOKUP($C91,DataDijkvakken[#All],4,FALSE))</f>
        <v>44</v>
      </c>
      <c r="N91" s="29">
        <f t="shared" si="13"/>
        <v>44</v>
      </c>
      <c r="O91" s="29">
        <f>VLOOKUP($C91,DataDijkvakken!$B:$G,5,FALSE)</f>
        <v>15</v>
      </c>
      <c r="P91" s="29">
        <f>VLOOKUP($C91,DataDijkvakken!$B:$G,6,FALSE)</f>
        <v>42.897727272727273</v>
      </c>
      <c r="Q91" s="29">
        <f t="shared" si="14"/>
        <v>42.897727272727273</v>
      </c>
      <c r="R91" s="7">
        <v>1887.5</v>
      </c>
      <c r="S91" s="27"/>
      <c r="T91" s="32">
        <f t="shared" si="15"/>
        <v>0</v>
      </c>
      <c r="U91" s="27"/>
      <c r="V91">
        <f t="shared" si="16"/>
        <v>67.421836363636345</v>
      </c>
      <c r="W91" s="31">
        <f t="shared" si="17"/>
        <v>356.73339644104476</v>
      </c>
      <c r="X91" s="33"/>
      <c r="Y91" t="str">
        <f>IF(Ondergrondscenarios[[#This Row],[Scenariotype '[-']]]="-","",IF(Ondergrondscenarios[[#This Row],[Scenariotype '[-']]]="Pleistoceen",VLOOKUP(Ondergrondscenarios[[#This Row],[Vaknaam '[-']]],DataDijkvakken[#All],8,FALSE),VLOOKUP(Ondergrondscenarios[[#This Row],[Vaknaam '[-']]],DataDijkvakken[#All],7,FALSE)))</f>
        <v/>
      </c>
      <c r="Z91">
        <f>VLOOKUP($C91,DataDijkvakken[#All],3,FALSE)</f>
        <v>18</v>
      </c>
      <c r="AA91" s="8"/>
    </row>
    <row r="92" spans="1:27" x14ac:dyDescent="0.3">
      <c r="A92">
        <f>IFERROR(IF(Ondergrondscenarios[[#This Row],[Scenarionaam '[-']]]="","",A91+1),1)</f>
        <v>91</v>
      </c>
      <c r="B92">
        <f>A97/6</f>
        <v>16</v>
      </c>
      <c r="C92" t="str">
        <f>VLOOKUP(Ondergrondscenarios[[#This Row],[VakID '[-']]],DataDijkvakken!A:I,2,FALSE)</f>
        <v>05e</v>
      </c>
      <c r="D92" s="8" t="str">
        <f>GenererenScenarios!$B$3</f>
        <v>P_S1_PL</v>
      </c>
      <c r="E92" s="8" t="str">
        <f>GenererenScenarios!$C$3</f>
        <v>Pleistoceen</v>
      </c>
      <c r="F92" s="26">
        <v>0.5</v>
      </c>
      <c r="G92" s="29">
        <f>VLOOKUP($C92,DataDijkvakken!$B:$G,2,FALSE)</f>
        <v>1.7682442272727277</v>
      </c>
      <c r="H92" s="7"/>
      <c r="I92" s="7"/>
      <c r="J92" s="29">
        <v>-5</v>
      </c>
      <c r="K92" s="29">
        <f t="shared" si="12"/>
        <v>6.7682442272727279</v>
      </c>
      <c r="L92" s="7">
        <v>0</v>
      </c>
      <c r="M92" s="29">
        <f>IF(Ondergrondscenarios[[#This Row],[Scenariotype '[-']]]="Tussenzandlaag",0,VLOOKUP($C92,DataDijkvakken[#All],4,FALSE))</f>
        <v>44</v>
      </c>
      <c r="N92" s="29">
        <f t="shared" si="13"/>
        <v>44</v>
      </c>
      <c r="O92" s="29">
        <f>VLOOKUP($C92,DataDijkvakken!$B:$G,5,FALSE)</f>
        <v>15</v>
      </c>
      <c r="P92" s="29">
        <f>VLOOKUP($C92,DataDijkvakken!$B:$G,6,FALSE)</f>
        <v>42.897727272727273</v>
      </c>
      <c r="Q92" s="29">
        <f t="shared" si="14"/>
        <v>42.897727272727273</v>
      </c>
      <c r="R92" s="7">
        <v>1887.5</v>
      </c>
      <c r="S92" s="27"/>
      <c r="T92" s="32">
        <f t="shared" si="15"/>
        <v>0</v>
      </c>
      <c r="U92" s="27"/>
      <c r="V92">
        <f t="shared" si="16"/>
        <v>541.8244227272728</v>
      </c>
      <c r="W92" s="31">
        <f t="shared" si="17"/>
        <v>1011.2831442764817</v>
      </c>
      <c r="X92" s="33"/>
      <c r="Y92">
        <f>IF(Ondergrondscenarios[[#This Row],[Scenariotype '[-']]]="-","",IF(Ondergrondscenarios[[#This Row],[Scenariotype '[-']]]="Pleistoceen",VLOOKUP(Ondergrondscenarios[[#This Row],[Vaknaam '[-']]],DataDijkvakken[#All],8,FALSE),VLOOKUP(Ondergrondscenarios[[#This Row],[Vaknaam '[-']]],DataDijkvakken[#All],7,FALSE)))</f>
        <v>3.5000000000000005E-4</v>
      </c>
      <c r="Z92">
        <f>VLOOKUP($C92,DataDijkvakken[#All],3,FALSE)</f>
        <v>18</v>
      </c>
      <c r="AA92" s="8"/>
    </row>
    <row r="93" spans="1:27" x14ac:dyDescent="0.3">
      <c r="A93">
        <f>IFERROR(IF(Ondergrondscenarios[[#This Row],[Scenarionaam '[-']]]="","",A92+1),1)</f>
        <v>92</v>
      </c>
      <c r="B93">
        <f>A97/6</f>
        <v>16</v>
      </c>
      <c r="C93" t="str">
        <f>VLOOKUP(Ondergrondscenarios[[#This Row],[VakID '[-']]],DataDijkvakken!A:I,2,FALSE)</f>
        <v>05e</v>
      </c>
      <c r="D93" s="8" t="str">
        <f>GenererenScenarios!$B$4</f>
        <v>P_S2_HL_F</v>
      </c>
      <c r="E93" s="8" t="str">
        <f>GenererenScenarios!$C$4</f>
        <v>Holoceen</v>
      </c>
      <c r="F93" s="26">
        <v>0.5</v>
      </c>
      <c r="G93" s="29">
        <f>VLOOKUP($C93,DataDijkvakken!$B:$G,2,FALSE)</f>
        <v>1.7682442272727277</v>
      </c>
      <c r="H93" s="7"/>
      <c r="I93" s="7"/>
      <c r="J93" s="29">
        <v>0</v>
      </c>
      <c r="K93" s="29">
        <f t="shared" si="12"/>
        <v>1.7682442272727277</v>
      </c>
      <c r="L93" s="7">
        <v>5</v>
      </c>
      <c r="M93" s="29">
        <f>IF(Ondergrondscenarios[[#This Row],[Scenariotype '[-']]]="Tussenzandlaag",0,VLOOKUP($C93,DataDijkvakken[#All],4,FALSE))</f>
        <v>44</v>
      </c>
      <c r="N93" s="29">
        <f t="shared" si="13"/>
        <v>49</v>
      </c>
      <c r="O93" s="29">
        <f>VLOOKUP($C93,DataDijkvakken!$B:$G,5,FALSE)</f>
        <v>15</v>
      </c>
      <c r="P93" s="29">
        <f>VLOOKUP($C93,DataDijkvakken!$B:$G,6,FALSE)</f>
        <v>42.897727272727273</v>
      </c>
      <c r="Q93" s="29">
        <f t="shared" si="14"/>
        <v>40.051020408163268</v>
      </c>
      <c r="R93" s="7">
        <v>1962.5000000000002</v>
      </c>
      <c r="S93" s="27"/>
      <c r="T93" s="32">
        <f t="shared" si="15"/>
        <v>0</v>
      </c>
      <c r="U93" s="27"/>
      <c r="V93">
        <f t="shared" si="16"/>
        <v>41.824422727272768</v>
      </c>
      <c r="W93" s="31">
        <f t="shared" si="17"/>
        <v>286.49682302300113</v>
      </c>
      <c r="X93" s="33"/>
      <c r="Y93">
        <f>IF(Ondergrondscenarios[[#This Row],[Scenariotype '[-']]]="-","",IF(Ondergrondscenarios[[#This Row],[Scenariotype '[-']]]="Pleistoceen",VLOOKUP(Ondergrondscenarios[[#This Row],[Vaknaam '[-']]],DataDijkvakken[#All],8,FALSE),VLOOKUP(Ondergrondscenarios[[#This Row],[Vaknaam '[-']]],DataDijkvakken[#All],7,FALSE)))</f>
        <v>2.8000000000000003E-4</v>
      </c>
      <c r="Z93">
        <f>VLOOKUP($C93,DataDijkvakken[#All],3,FALSE)</f>
        <v>18</v>
      </c>
      <c r="AA93" s="8"/>
    </row>
    <row r="94" spans="1:27" x14ac:dyDescent="0.3">
      <c r="A94">
        <f>IFERROR(IF(Ondergrondscenarios[[#This Row],[Scenarionaam '[-']]]="","",A93+1),1)</f>
        <v>93</v>
      </c>
      <c r="B94">
        <f>A97/6</f>
        <v>16</v>
      </c>
      <c r="C94" t="str">
        <f>VLOOKUP(Ondergrondscenarios[[#This Row],[VakID '[-']]],DataDijkvakken!A:I,2,FALSE)</f>
        <v>05e</v>
      </c>
      <c r="D94" s="8" t="str">
        <f>GenererenScenarios!$B$5</f>
        <v>P_S3_HL_TZ</v>
      </c>
      <c r="E94" s="8" t="str">
        <f>GenererenScenarios!$C$5</f>
        <v>Tussenzandlaag</v>
      </c>
      <c r="F94" s="26">
        <v>0</v>
      </c>
      <c r="G94" s="29">
        <f>VLOOKUP($C94,DataDijkvakken!$B:$G,2,FALSE)</f>
        <v>1.7682442272727277</v>
      </c>
      <c r="H94" s="7"/>
      <c r="I94" s="7"/>
      <c r="J94" s="29"/>
      <c r="K94" s="29">
        <f t="shared" si="12"/>
        <v>1.7682442272727277</v>
      </c>
      <c r="L94" s="7"/>
      <c r="M94" s="29">
        <f>IF(Ondergrondscenarios[[#This Row],[Scenariotype '[-']]]="Tussenzandlaag",0,VLOOKUP($C94,DataDijkvakken[#All],4,FALSE))</f>
        <v>0</v>
      </c>
      <c r="N94" s="29">
        <f t="shared" si="13"/>
        <v>0.1</v>
      </c>
      <c r="O94" s="29">
        <f>VLOOKUP($C94,DataDijkvakken!$B:$G,5,FALSE)</f>
        <v>15</v>
      </c>
      <c r="P94" s="29">
        <f>VLOOKUP($C94,DataDijkvakken!$B:$G,6,FALSE)</f>
        <v>42.897727272727273</v>
      </c>
      <c r="Q94" s="29">
        <f t="shared" si="14"/>
        <v>0.1</v>
      </c>
      <c r="R94" s="7">
        <v>1.0000000000000002E-2</v>
      </c>
      <c r="S94" s="27"/>
      <c r="T94" s="32">
        <f t="shared" si="15"/>
        <v>0</v>
      </c>
      <c r="U94" s="27"/>
      <c r="V94">
        <f t="shared" si="16"/>
        <v>41.824422727272768</v>
      </c>
      <c r="W94" s="31">
        <f t="shared" si="17"/>
        <v>0.64671804310126357</v>
      </c>
      <c r="X94" s="33"/>
      <c r="Y94">
        <f>IF(Ondergrondscenarios[[#This Row],[Scenariotype '[-']]]="-","",IF(Ondergrondscenarios[[#This Row],[Scenariotype '[-']]]="Pleistoceen",VLOOKUP(Ondergrondscenarios[[#This Row],[Vaknaam '[-']]],DataDijkvakken[#All],8,FALSE),VLOOKUP(Ondergrondscenarios[[#This Row],[Vaknaam '[-']]],DataDijkvakken[#All],7,FALSE)))</f>
        <v>2.8000000000000003E-4</v>
      </c>
      <c r="Z94">
        <f>VLOOKUP($C94,DataDijkvakken[#All],3,FALSE)</f>
        <v>18</v>
      </c>
      <c r="AA94" s="8"/>
    </row>
    <row r="95" spans="1:27" x14ac:dyDescent="0.3">
      <c r="A95">
        <f>IFERROR(IF(Ondergrondscenarios[[#This Row],[Scenarionaam '[-']]]="","",A94+1),1)</f>
        <v>94</v>
      </c>
      <c r="B95">
        <f>A97/6</f>
        <v>16</v>
      </c>
      <c r="C95" t="str">
        <f>VLOOKUP(Ondergrondscenarios[[#This Row],[VakID '[-']]],DataDijkvakken!A:I,2,FALSE)</f>
        <v>05e</v>
      </c>
      <c r="D95" s="8" t="str">
        <f>GenererenScenarios!$B$6</f>
        <v>P_S4</v>
      </c>
      <c r="E95" s="8" t="str">
        <f>GenererenScenarios!$C$6</f>
        <v>-</v>
      </c>
      <c r="F95" s="26">
        <v>0</v>
      </c>
      <c r="G95" s="29">
        <f>VLOOKUP($C95,DataDijkvakken!$B:$G,2,FALSE)</f>
        <v>1.7682442272727277</v>
      </c>
      <c r="H95" s="7"/>
      <c r="I95" s="7"/>
      <c r="J95" s="29"/>
      <c r="K95" s="29">
        <f t="shared" si="12"/>
        <v>1.7682442272727277</v>
      </c>
      <c r="L95" s="7"/>
      <c r="M95" s="29">
        <f>IF(Ondergrondscenarios[[#This Row],[Scenariotype '[-']]]="Tussenzandlaag",0,VLOOKUP($C95,DataDijkvakken[#All],4,FALSE))</f>
        <v>44</v>
      </c>
      <c r="N95" s="29">
        <f t="shared" si="13"/>
        <v>44</v>
      </c>
      <c r="O95" s="29">
        <f>VLOOKUP($C95,DataDijkvakken!$B:$G,5,FALSE)</f>
        <v>15</v>
      </c>
      <c r="P95" s="29">
        <f>VLOOKUP($C95,DataDijkvakken!$B:$G,6,FALSE)</f>
        <v>42.897727272727273</v>
      </c>
      <c r="Q95" s="29">
        <f t="shared" si="14"/>
        <v>42.897727272727273</v>
      </c>
      <c r="R95" s="7">
        <v>1887.5</v>
      </c>
      <c r="S95" s="27"/>
      <c r="T95" s="32">
        <f t="shared" si="15"/>
        <v>0</v>
      </c>
      <c r="U95" s="27"/>
      <c r="V95">
        <f t="shared" si="16"/>
        <v>41.824422727272768</v>
      </c>
      <c r="W95" s="31">
        <f t="shared" si="17"/>
        <v>280.96903369896006</v>
      </c>
      <c r="X95" s="33"/>
      <c r="Y95" t="str">
        <f>IF(Ondergrondscenarios[[#This Row],[Scenariotype '[-']]]="-","",IF(Ondergrondscenarios[[#This Row],[Scenariotype '[-']]]="Pleistoceen",VLOOKUP(Ondergrondscenarios[[#This Row],[Vaknaam '[-']]],DataDijkvakken[#All],8,FALSE),VLOOKUP(Ondergrondscenarios[[#This Row],[Vaknaam '[-']]],DataDijkvakken[#All],7,FALSE)))</f>
        <v/>
      </c>
      <c r="Z95">
        <f>VLOOKUP($C95,DataDijkvakken[#All],3,FALSE)</f>
        <v>18</v>
      </c>
      <c r="AA95" s="8"/>
    </row>
    <row r="96" spans="1:27" x14ac:dyDescent="0.3">
      <c r="A96">
        <f>IFERROR(IF(Ondergrondscenarios[[#This Row],[Scenarionaam '[-']]]="","",A95+1),1)</f>
        <v>95</v>
      </c>
      <c r="B96">
        <f>A97/6</f>
        <v>16</v>
      </c>
      <c r="C96" t="str">
        <f>VLOOKUP(Ondergrondscenarios[[#This Row],[VakID '[-']]],DataDijkvakken!A:I,2,FALSE)</f>
        <v>05e</v>
      </c>
      <c r="D96" s="8" t="str">
        <f>GenererenScenarios!$B$7</f>
        <v>P_S5</v>
      </c>
      <c r="E96" s="8" t="str">
        <f>GenererenScenarios!$C$7</f>
        <v>-</v>
      </c>
      <c r="F96" s="26">
        <v>0</v>
      </c>
      <c r="G96" s="29">
        <f>VLOOKUP($C96,DataDijkvakken!$B:$G,2,FALSE)</f>
        <v>1.7682442272727277</v>
      </c>
      <c r="H96" s="7"/>
      <c r="I96" s="7"/>
      <c r="J96" s="29"/>
      <c r="K96" s="29">
        <f t="shared" si="12"/>
        <v>1.7682442272727277</v>
      </c>
      <c r="L96" s="7"/>
      <c r="M96" s="29">
        <f>IF(Ondergrondscenarios[[#This Row],[Scenariotype '[-']]]="Tussenzandlaag",0,VLOOKUP($C96,DataDijkvakken[#All],4,FALSE))</f>
        <v>44</v>
      </c>
      <c r="N96" s="29">
        <f t="shared" si="13"/>
        <v>44</v>
      </c>
      <c r="O96" s="29">
        <f>VLOOKUP($C96,DataDijkvakken!$B:$G,5,FALSE)</f>
        <v>15</v>
      </c>
      <c r="P96" s="29">
        <f>VLOOKUP($C96,DataDijkvakken!$B:$G,6,FALSE)</f>
        <v>42.897727272727273</v>
      </c>
      <c r="Q96" s="29">
        <f t="shared" si="14"/>
        <v>42.897727272727273</v>
      </c>
      <c r="R96" s="7">
        <v>1887.5</v>
      </c>
      <c r="S96" s="27"/>
      <c r="T96" s="32">
        <f t="shared" si="15"/>
        <v>0</v>
      </c>
      <c r="U96" s="27"/>
      <c r="V96">
        <f t="shared" si="16"/>
        <v>41.824422727272768</v>
      </c>
      <c r="W96" s="31">
        <f t="shared" si="17"/>
        <v>280.96903369896006</v>
      </c>
      <c r="X96" s="33"/>
      <c r="Y96" t="str">
        <f>IF(Ondergrondscenarios[[#This Row],[Scenariotype '[-']]]="-","",IF(Ondergrondscenarios[[#This Row],[Scenariotype '[-']]]="Pleistoceen",VLOOKUP(Ondergrondscenarios[[#This Row],[Vaknaam '[-']]],DataDijkvakken[#All],8,FALSE),VLOOKUP(Ondergrondscenarios[[#This Row],[Vaknaam '[-']]],DataDijkvakken[#All],7,FALSE)))</f>
        <v/>
      </c>
      <c r="Z96">
        <f>VLOOKUP($C96,DataDijkvakken[#All],3,FALSE)</f>
        <v>18</v>
      </c>
      <c r="AA96" s="8"/>
    </row>
    <row r="97" spans="1:27" x14ac:dyDescent="0.3">
      <c r="A97">
        <f>IFERROR(IF(Ondergrondscenarios[[#This Row],[Scenarionaam '[-']]]="","",A96+1),1)</f>
        <v>96</v>
      </c>
      <c r="B97">
        <f>A97/6</f>
        <v>16</v>
      </c>
      <c r="C97" t="str">
        <f>VLOOKUP(Ondergrondscenarios[[#This Row],[VakID '[-']]],DataDijkvakken!A:I,2,FALSE)</f>
        <v>05e</v>
      </c>
      <c r="D97" s="8" t="str">
        <f>GenererenScenarios!$B$8</f>
        <v>P_S6</v>
      </c>
      <c r="E97" s="8" t="str">
        <f>GenererenScenarios!$C$8</f>
        <v>-</v>
      </c>
      <c r="F97" s="26">
        <v>0</v>
      </c>
      <c r="G97" s="29">
        <f>VLOOKUP($C97,DataDijkvakken!$B:$G,2,FALSE)</f>
        <v>1.7682442272727277</v>
      </c>
      <c r="H97" s="7"/>
      <c r="I97" s="7"/>
      <c r="J97" s="29"/>
      <c r="K97" s="29">
        <f t="shared" si="12"/>
        <v>1.7682442272727277</v>
      </c>
      <c r="L97" s="7"/>
      <c r="M97" s="29">
        <f>IF(Ondergrondscenarios[[#This Row],[Scenariotype '[-']]]="Tussenzandlaag",0,VLOOKUP($C97,DataDijkvakken[#All],4,FALSE))</f>
        <v>44</v>
      </c>
      <c r="N97" s="29">
        <f t="shared" si="13"/>
        <v>44</v>
      </c>
      <c r="O97" s="29">
        <f>VLOOKUP($C97,DataDijkvakken!$B:$G,5,FALSE)</f>
        <v>15</v>
      </c>
      <c r="P97" s="29">
        <f>VLOOKUP($C97,DataDijkvakken!$B:$G,6,FALSE)</f>
        <v>42.897727272727273</v>
      </c>
      <c r="Q97" s="29">
        <f t="shared" si="14"/>
        <v>42.897727272727273</v>
      </c>
      <c r="R97" s="7">
        <v>1887.5</v>
      </c>
      <c r="S97" s="27"/>
      <c r="T97" s="32">
        <f t="shared" si="15"/>
        <v>0</v>
      </c>
      <c r="U97" s="27"/>
      <c r="V97">
        <f t="shared" si="16"/>
        <v>41.824422727272768</v>
      </c>
      <c r="W97" s="31">
        <f t="shared" si="17"/>
        <v>280.96903369896006</v>
      </c>
      <c r="X97" s="33"/>
      <c r="Y97" t="str">
        <f>IF(Ondergrondscenarios[[#This Row],[Scenariotype '[-']]]="-","",IF(Ondergrondscenarios[[#This Row],[Scenariotype '[-']]]="Pleistoceen",VLOOKUP(Ondergrondscenarios[[#This Row],[Vaknaam '[-']]],DataDijkvakken[#All],8,FALSE),VLOOKUP(Ondergrondscenarios[[#This Row],[Vaknaam '[-']]],DataDijkvakken[#All],7,FALSE)))</f>
        <v/>
      </c>
      <c r="Z97">
        <f>VLOOKUP($C97,DataDijkvakken[#All],3,FALSE)</f>
        <v>18</v>
      </c>
      <c r="AA97" s="8"/>
    </row>
    <row r="98" spans="1:27" x14ac:dyDescent="0.3">
      <c r="A98">
        <f>IFERROR(IF(Ondergrondscenarios[[#This Row],[Scenarionaam '[-']]]="","",A97+1),1)</f>
        <v>97</v>
      </c>
      <c r="B98">
        <f>A103/6</f>
        <v>17</v>
      </c>
      <c r="C98" t="str">
        <f>VLOOKUP(Ondergrondscenarios[[#This Row],[VakID '[-']]],DataDijkvakken!A:I,2,FALSE)</f>
        <v>06a</v>
      </c>
      <c r="D98" s="8" t="str">
        <f>GenererenScenarios!$B$3</f>
        <v>P_S1_PL</v>
      </c>
      <c r="E98" s="8" t="str">
        <f>GenererenScenarios!$C$3</f>
        <v>Pleistoceen</v>
      </c>
      <c r="F98" s="26">
        <v>0.5</v>
      </c>
      <c r="G98" s="29">
        <f>VLOOKUP($C98,DataDijkvakken!$B:$G,2,FALSE)</f>
        <v>1.6937005000000001</v>
      </c>
      <c r="H98" s="7"/>
      <c r="I98" s="7"/>
      <c r="J98" s="29">
        <v>-5.5</v>
      </c>
      <c r="K98" s="29">
        <f t="shared" si="12"/>
        <v>7.1937005000000003</v>
      </c>
      <c r="L98" s="7">
        <v>0</v>
      </c>
      <c r="M98" s="29">
        <f>IF(Ondergrondscenarios[[#This Row],[Scenariotype '[-']]]="Tussenzandlaag",0,VLOOKUP($C98,DataDijkvakken[#All],4,FALSE))</f>
        <v>43.5</v>
      </c>
      <c r="N98" s="29">
        <f t="shared" si="13"/>
        <v>43.5</v>
      </c>
      <c r="O98" s="29">
        <f>VLOOKUP($C98,DataDijkvakken!$B:$G,5,FALSE)</f>
        <v>15</v>
      </c>
      <c r="P98" s="29">
        <f>VLOOKUP($C98,DataDijkvakken!$B:$G,6,FALSE)</f>
        <v>42.52873563218391</v>
      </c>
      <c r="Q98" s="29">
        <f t="shared" si="14"/>
        <v>42.52873563218391</v>
      </c>
      <c r="R98" s="7">
        <v>1850</v>
      </c>
      <c r="S98" s="27"/>
      <c r="T98" s="32">
        <f t="shared" si="15"/>
        <v>0</v>
      </c>
      <c r="U98" s="27"/>
      <c r="V98">
        <f t="shared" si="16"/>
        <v>584.37004999999999</v>
      </c>
      <c r="W98" s="31">
        <f t="shared" si="17"/>
        <v>1039.7521784059893</v>
      </c>
      <c r="X98" s="33"/>
      <c r="Y98">
        <f>IF(Ondergrondscenarios[[#This Row],[Scenariotype '[-']]]="-","",IF(Ondergrondscenarios[[#This Row],[Scenariotype '[-']]]="Pleistoceen",VLOOKUP(Ondergrondscenarios[[#This Row],[Vaknaam '[-']]],DataDijkvakken[#All],8,FALSE),VLOOKUP(Ondergrondscenarios[[#This Row],[Vaknaam '[-']]],DataDijkvakken[#All],7,FALSE)))</f>
        <v>3.5000000000000005E-4</v>
      </c>
      <c r="Z98">
        <f>VLOOKUP($C98,DataDijkvakken[#All],3,FALSE)</f>
        <v>18</v>
      </c>
      <c r="AA98" s="8"/>
    </row>
    <row r="99" spans="1:27" x14ac:dyDescent="0.3">
      <c r="A99">
        <f>IFERROR(IF(Ondergrondscenarios[[#This Row],[Scenarionaam '[-']]]="","",A98+1),1)</f>
        <v>98</v>
      </c>
      <c r="B99">
        <f>A103/6</f>
        <v>17</v>
      </c>
      <c r="C99" t="str">
        <f>VLOOKUP(Ondergrondscenarios[[#This Row],[VakID '[-']]],DataDijkvakken!A:I,2,FALSE)</f>
        <v>06a</v>
      </c>
      <c r="D99" s="8" t="str">
        <f>GenererenScenarios!$B$4</f>
        <v>P_S2_HL_F</v>
      </c>
      <c r="E99" s="8" t="str">
        <f>GenererenScenarios!$C$4</f>
        <v>Holoceen</v>
      </c>
      <c r="F99" s="26">
        <v>0.5</v>
      </c>
      <c r="G99" s="29">
        <f>VLOOKUP($C99,DataDijkvakken!$B:$G,2,FALSE)</f>
        <v>1.6937005000000001</v>
      </c>
      <c r="H99" s="7"/>
      <c r="I99" s="7"/>
      <c r="J99" s="29">
        <v>-0.5</v>
      </c>
      <c r="K99" s="29">
        <f t="shared" si="12"/>
        <v>2.1937005000000003</v>
      </c>
      <c r="L99" s="7">
        <v>5</v>
      </c>
      <c r="M99" s="29">
        <f>IF(Ondergrondscenarios[[#This Row],[Scenariotype '[-']]]="Tussenzandlaag",0,VLOOKUP($C99,DataDijkvakken[#All],4,FALSE))</f>
        <v>43.5</v>
      </c>
      <c r="N99" s="29">
        <f t="shared" si="13"/>
        <v>48.5</v>
      </c>
      <c r="O99" s="29">
        <f>VLOOKUP($C99,DataDijkvakken!$B:$G,5,FALSE)</f>
        <v>15</v>
      </c>
      <c r="P99" s="29">
        <f>VLOOKUP($C99,DataDijkvakken!$B:$G,6,FALSE)</f>
        <v>42.52873563218391</v>
      </c>
      <c r="Q99" s="29">
        <f t="shared" si="14"/>
        <v>39.690721649484537</v>
      </c>
      <c r="R99" s="7">
        <v>1925</v>
      </c>
      <c r="S99" s="27"/>
      <c r="T99" s="32">
        <f t="shared" si="15"/>
        <v>0</v>
      </c>
      <c r="U99" s="27"/>
      <c r="V99">
        <f t="shared" si="16"/>
        <v>84.37005000000002</v>
      </c>
      <c r="W99" s="31">
        <f t="shared" si="17"/>
        <v>403.00415165355309</v>
      </c>
      <c r="X99" s="33"/>
      <c r="Y99">
        <f>IF(Ondergrondscenarios[[#This Row],[Scenariotype '[-']]]="-","",IF(Ondergrondscenarios[[#This Row],[Scenariotype '[-']]]="Pleistoceen",VLOOKUP(Ondergrondscenarios[[#This Row],[Vaknaam '[-']]],DataDijkvakken[#All],8,FALSE),VLOOKUP(Ondergrondscenarios[[#This Row],[Vaknaam '[-']]],DataDijkvakken[#All],7,FALSE)))</f>
        <v>2.8000000000000003E-4</v>
      </c>
      <c r="Z99">
        <f>VLOOKUP($C99,DataDijkvakken[#All],3,FALSE)</f>
        <v>18</v>
      </c>
      <c r="AA99" s="8"/>
    </row>
    <row r="100" spans="1:27" x14ac:dyDescent="0.3">
      <c r="A100">
        <f>IFERROR(IF(Ondergrondscenarios[[#This Row],[Scenarionaam '[-']]]="","",A99+1),1)</f>
        <v>99</v>
      </c>
      <c r="B100">
        <f>A103/6</f>
        <v>17</v>
      </c>
      <c r="C100" t="str">
        <f>VLOOKUP(Ondergrondscenarios[[#This Row],[VakID '[-']]],DataDijkvakken!A:I,2,FALSE)</f>
        <v>06a</v>
      </c>
      <c r="D100" s="8" t="str">
        <f>GenererenScenarios!$B$5</f>
        <v>P_S3_HL_TZ</v>
      </c>
      <c r="E100" s="8" t="str">
        <f>GenererenScenarios!$C$5</f>
        <v>Tussenzandlaag</v>
      </c>
      <c r="F100" s="26">
        <v>0</v>
      </c>
      <c r="G100" s="29">
        <f>VLOOKUP($C100,DataDijkvakken!$B:$G,2,FALSE)</f>
        <v>1.6937005000000001</v>
      </c>
      <c r="H100" s="7"/>
      <c r="I100" s="7"/>
      <c r="J100" s="29"/>
      <c r="K100" s="29">
        <f t="shared" si="12"/>
        <v>1.6937005000000001</v>
      </c>
      <c r="L100" s="7"/>
      <c r="M100" s="29">
        <f>IF(Ondergrondscenarios[[#This Row],[Scenariotype '[-']]]="Tussenzandlaag",0,VLOOKUP($C100,DataDijkvakken[#All],4,FALSE))</f>
        <v>0</v>
      </c>
      <c r="N100" s="29">
        <f t="shared" si="13"/>
        <v>0.1</v>
      </c>
      <c r="O100" s="29">
        <f>VLOOKUP($C100,DataDijkvakken!$B:$G,5,FALSE)</f>
        <v>15</v>
      </c>
      <c r="P100" s="29">
        <f>VLOOKUP($C100,DataDijkvakken!$B:$G,6,FALSE)</f>
        <v>42.52873563218391</v>
      </c>
      <c r="Q100" s="29">
        <f t="shared" si="14"/>
        <v>0.1</v>
      </c>
      <c r="R100" s="7">
        <v>1.0000000000000002E-2</v>
      </c>
      <c r="S100" s="27"/>
      <c r="T100" s="32">
        <f t="shared" si="15"/>
        <v>0</v>
      </c>
      <c r="U100" s="27"/>
      <c r="V100">
        <f t="shared" si="16"/>
        <v>34.370050000000006</v>
      </c>
      <c r="W100" s="31">
        <f t="shared" si="17"/>
        <v>0.58625975471628622</v>
      </c>
      <c r="X100" s="33"/>
      <c r="Y100">
        <f>IF(Ondergrondscenarios[[#This Row],[Scenariotype '[-']]]="-","",IF(Ondergrondscenarios[[#This Row],[Scenariotype '[-']]]="Pleistoceen",VLOOKUP(Ondergrondscenarios[[#This Row],[Vaknaam '[-']]],DataDijkvakken[#All],8,FALSE),VLOOKUP(Ondergrondscenarios[[#This Row],[Vaknaam '[-']]],DataDijkvakken[#All],7,FALSE)))</f>
        <v>2.8000000000000003E-4</v>
      </c>
      <c r="Z100">
        <f>VLOOKUP($C100,DataDijkvakken[#All],3,FALSE)</f>
        <v>18</v>
      </c>
      <c r="AA100" s="8"/>
    </row>
    <row r="101" spans="1:27" x14ac:dyDescent="0.3">
      <c r="A101">
        <f>IFERROR(IF(Ondergrondscenarios[[#This Row],[Scenarionaam '[-']]]="","",A100+1),1)</f>
        <v>100</v>
      </c>
      <c r="B101">
        <f>A103/6</f>
        <v>17</v>
      </c>
      <c r="C101" t="str">
        <f>VLOOKUP(Ondergrondscenarios[[#This Row],[VakID '[-']]],DataDijkvakken!A:I,2,FALSE)</f>
        <v>06a</v>
      </c>
      <c r="D101" s="8" t="str">
        <f>GenererenScenarios!$B$6</f>
        <v>P_S4</v>
      </c>
      <c r="E101" s="8" t="str">
        <f>GenererenScenarios!$C$6</f>
        <v>-</v>
      </c>
      <c r="F101" s="26">
        <v>0</v>
      </c>
      <c r="G101" s="29">
        <f>VLOOKUP($C101,DataDijkvakken!$B:$G,2,FALSE)</f>
        <v>1.6937005000000001</v>
      </c>
      <c r="H101" s="7"/>
      <c r="I101" s="7"/>
      <c r="J101" s="29"/>
      <c r="K101" s="29">
        <f t="shared" si="12"/>
        <v>1.6937005000000001</v>
      </c>
      <c r="L101" s="7"/>
      <c r="M101" s="29">
        <f>IF(Ondergrondscenarios[[#This Row],[Scenariotype '[-']]]="Tussenzandlaag",0,VLOOKUP($C101,DataDijkvakken[#All],4,FALSE))</f>
        <v>43.5</v>
      </c>
      <c r="N101" s="29">
        <f t="shared" si="13"/>
        <v>43.5</v>
      </c>
      <c r="O101" s="29">
        <f>VLOOKUP($C101,DataDijkvakken!$B:$G,5,FALSE)</f>
        <v>15</v>
      </c>
      <c r="P101" s="29">
        <f>VLOOKUP($C101,DataDijkvakken!$B:$G,6,FALSE)</f>
        <v>42.52873563218391</v>
      </c>
      <c r="Q101" s="29">
        <f t="shared" si="14"/>
        <v>42.52873563218391</v>
      </c>
      <c r="R101" s="7">
        <v>1850</v>
      </c>
      <c r="S101" s="27"/>
      <c r="T101" s="32">
        <f t="shared" si="15"/>
        <v>0</v>
      </c>
      <c r="U101" s="27"/>
      <c r="V101">
        <f t="shared" si="16"/>
        <v>34.370050000000006</v>
      </c>
      <c r="W101" s="31">
        <f t="shared" si="17"/>
        <v>252.15985505230609</v>
      </c>
      <c r="X101" s="33"/>
      <c r="Y101" t="str">
        <f>IF(Ondergrondscenarios[[#This Row],[Scenariotype '[-']]]="-","",IF(Ondergrondscenarios[[#This Row],[Scenariotype '[-']]]="Pleistoceen",VLOOKUP(Ondergrondscenarios[[#This Row],[Vaknaam '[-']]],DataDijkvakken[#All],8,FALSE),VLOOKUP(Ondergrondscenarios[[#This Row],[Vaknaam '[-']]],DataDijkvakken[#All],7,FALSE)))</f>
        <v/>
      </c>
      <c r="Z101">
        <f>VLOOKUP($C101,DataDijkvakken[#All],3,FALSE)</f>
        <v>18</v>
      </c>
      <c r="AA101" s="8"/>
    </row>
    <row r="102" spans="1:27" x14ac:dyDescent="0.3">
      <c r="A102">
        <f>IFERROR(IF(Ondergrondscenarios[[#This Row],[Scenarionaam '[-']]]="","",A101+1),1)</f>
        <v>101</v>
      </c>
      <c r="B102">
        <f>A103/6</f>
        <v>17</v>
      </c>
      <c r="C102" t="str">
        <f>VLOOKUP(Ondergrondscenarios[[#This Row],[VakID '[-']]],DataDijkvakken!A:I,2,FALSE)</f>
        <v>06a</v>
      </c>
      <c r="D102" s="8" t="str">
        <f>GenererenScenarios!$B$7</f>
        <v>P_S5</v>
      </c>
      <c r="E102" s="8" t="str">
        <f>GenererenScenarios!$C$7</f>
        <v>-</v>
      </c>
      <c r="F102" s="26">
        <v>0</v>
      </c>
      <c r="G102" s="29">
        <f>VLOOKUP($C102,DataDijkvakken!$B:$G,2,FALSE)</f>
        <v>1.6937005000000001</v>
      </c>
      <c r="H102" s="7"/>
      <c r="I102" s="7"/>
      <c r="J102" s="29"/>
      <c r="K102" s="29">
        <f t="shared" si="12"/>
        <v>1.6937005000000001</v>
      </c>
      <c r="L102" s="7"/>
      <c r="M102" s="29">
        <f>IF(Ondergrondscenarios[[#This Row],[Scenariotype '[-']]]="Tussenzandlaag",0,VLOOKUP($C102,DataDijkvakken[#All],4,FALSE))</f>
        <v>43.5</v>
      </c>
      <c r="N102" s="29">
        <f t="shared" si="13"/>
        <v>43.5</v>
      </c>
      <c r="O102" s="29">
        <f>VLOOKUP($C102,DataDijkvakken!$B:$G,5,FALSE)</f>
        <v>15</v>
      </c>
      <c r="P102" s="29">
        <f>VLOOKUP($C102,DataDijkvakken!$B:$G,6,FALSE)</f>
        <v>42.52873563218391</v>
      </c>
      <c r="Q102" s="29">
        <f t="shared" si="14"/>
        <v>42.52873563218391</v>
      </c>
      <c r="R102" s="7">
        <v>1850</v>
      </c>
      <c r="S102" s="27"/>
      <c r="T102" s="32">
        <f t="shared" si="15"/>
        <v>0</v>
      </c>
      <c r="U102" s="27"/>
      <c r="V102">
        <f t="shared" si="16"/>
        <v>34.370050000000006</v>
      </c>
      <c r="W102" s="31">
        <f t="shared" si="17"/>
        <v>252.15985505230609</v>
      </c>
      <c r="X102" s="33"/>
      <c r="Y102" t="str">
        <f>IF(Ondergrondscenarios[[#This Row],[Scenariotype '[-']]]="-","",IF(Ondergrondscenarios[[#This Row],[Scenariotype '[-']]]="Pleistoceen",VLOOKUP(Ondergrondscenarios[[#This Row],[Vaknaam '[-']]],DataDijkvakken[#All],8,FALSE),VLOOKUP(Ondergrondscenarios[[#This Row],[Vaknaam '[-']]],DataDijkvakken[#All],7,FALSE)))</f>
        <v/>
      </c>
      <c r="Z102">
        <f>VLOOKUP($C102,DataDijkvakken[#All],3,FALSE)</f>
        <v>18</v>
      </c>
      <c r="AA102" s="8"/>
    </row>
    <row r="103" spans="1:27" x14ac:dyDescent="0.3">
      <c r="A103">
        <f>IFERROR(IF(Ondergrondscenarios[[#This Row],[Scenarionaam '[-']]]="","",A102+1),1)</f>
        <v>102</v>
      </c>
      <c r="B103">
        <f>A103/6</f>
        <v>17</v>
      </c>
      <c r="C103" t="str">
        <f>VLOOKUP(Ondergrondscenarios[[#This Row],[VakID '[-']]],DataDijkvakken!A:I,2,FALSE)</f>
        <v>06a</v>
      </c>
      <c r="D103" s="8" t="str">
        <f>GenererenScenarios!$B$8</f>
        <v>P_S6</v>
      </c>
      <c r="E103" s="8" t="str">
        <f>GenererenScenarios!$C$8</f>
        <v>-</v>
      </c>
      <c r="F103" s="26">
        <v>0</v>
      </c>
      <c r="G103" s="29">
        <f>VLOOKUP($C103,DataDijkvakken!$B:$G,2,FALSE)</f>
        <v>1.6937005000000001</v>
      </c>
      <c r="H103" s="7"/>
      <c r="I103" s="7"/>
      <c r="J103" s="29"/>
      <c r="K103" s="29">
        <f t="shared" si="12"/>
        <v>1.6937005000000001</v>
      </c>
      <c r="L103" s="7"/>
      <c r="M103" s="29">
        <f>IF(Ondergrondscenarios[[#This Row],[Scenariotype '[-']]]="Tussenzandlaag",0,VLOOKUP($C103,DataDijkvakken[#All],4,FALSE))</f>
        <v>43.5</v>
      </c>
      <c r="N103" s="29">
        <f t="shared" si="13"/>
        <v>43.5</v>
      </c>
      <c r="O103" s="29">
        <f>VLOOKUP($C103,DataDijkvakken!$B:$G,5,FALSE)</f>
        <v>15</v>
      </c>
      <c r="P103" s="29">
        <f>VLOOKUP($C103,DataDijkvakken!$B:$G,6,FALSE)</f>
        <v>42.52873563218391</v>
      </c>
      <c r="Q103" s="29">
        <f t="shared" si="14"/>
        <v>42.52873563218391</v>
      </c>
      <c r="R103" s="7">
        <v>1850</v>
      </c>
      <c r="S103" s="27"/>
      <c r="T103" s="32">
        <f t="shared" si="15"/>
        <v>0</v>
      </c>
      <c r="U103" s="27"/>
      <c r="V103">
        <f t="shared" si="16"/>
        <v>34.370050000000006</v>
      </c>
      <c r="W103" s="31">
        <f t="shared" si="17"/>
        <v>252.15985505230609</v>
      </c>
      <c r="X103" s="33"/>
      <c r="Y103" t="str">
        <f>IF(Ondergrondscenarios[[#This Row],[Scenariotype '[-']]]="-","",IF(Ondergrondscenarios[[#This Row],[Scenariotype '[-']]]="Pleistoceen",VLOOKUP(Ondergrondscenarios[[#This Row],[Vaknaam '[-']]],DataDijkvakken[#All],8,FALSE),VLOOKUP(Ondergrondscenarios[[#This Row],[Vaknaam '[-']]],DataDijkvakken[#All],7,FALSE)))</f>
        <v/>
      </c>
      <c r="Z103">
        <f>VLOOKUP($C103,DataDijkvakken[#All],3,FALSE)</f>
        <v>18</v>
      </c>
      <c r="AA103" s="8"/>
    </row>
    <row r="104" spans="1:27" x14ac:dyDescent="0.3">
      <c r="A104">
        <f>IFERROR(IF(Ondergrondscenarios[[#This Row],[Scenarionaam '[-']]]="","",A103+1),1)</f>
        <v>103</v>
      </c>
      <c r="B104">
        <f>A109/6</f>
        <v>18</v>
      </c>
      <c r="C104" t="str">
        <f>VLOOKUP(Ondergrondscenarios[[#This Row],[VakID '[-']]],DataDijkvakken!A:I,2,FALSE)</f>
        <v>06b</v>
      </c>
      <c r="D104" s="8" t="str">
        <f>GenererenScenarios!$B$3</f>
        <v>P_S1_PL</v>
      </c>
      <c r="E104" s="8" t="str">
        <f>GenererenScenarios!$C$3</f>
        <v>Pleistoceen</v>
      </c>
      <c r="F104" s="26">
        <v>0.5</v>
      </c>
      <c r="G104" s="29">
        <f>VLOOKUP($C104,DataDijkvakken!$B:$G,2,FALSE)</f>
        <v>1.5821438181818179</v>
      </c>
      <c r="H104" s="7"/>
      <c r="I104" s="7"/>
      <c r="J104" s="29">
        <v>-5</v>
      </c>
      <c r="K104" s="29">
        <f t="shared" si="12"/>
        <v>6.5821438181818177</v>
      </c>
      <c r="L104" s="7">
        <v>0</v>
      </c>
      <c r="M104" s="29">
        <f>IF(Ondergrondscenarios[[#This Row],[Scenariotype '[-']]]="Tussenzandlaag",0,VLOOKUP($C104,DataDijkvakken[#All],4,FALSE))</f>
        <v>43.5</v>
      </c>
      <c r="N104" s="29">
        <f t="shared" si="13"/>
        <v>43.5</v>
      </c>
      <c r="O104" s="29">
        <f>VLOOKUP($C104,DataDijkvakken!$B:$G,5,FALSE)</f>
        <v>15</v>
      </c>
      <c r="P104" s="29">
        <f>VLOOKUP($C104,DataDijkvakken!$B:$G,6,FALSE)</f>
        <v>42.52873563218391</v>
      </c>
      <c r="Q104" s="29">
        <f t="shared" si="14"/>
        <v>42.52873563218391</v>
      </c>
      <c r="R104" s="7">
        <v>1850</v>
      </c>
      <c r="S104" s="27"/>
      <c r="T104" s="32">
        <f t="shared" si="15"/>
        <v>0</v>
      </c>
      <c r="U104" s="27"/>
      <c r="V104">
        <f t="shared" si="16"/>
        <v>523.21438181818178</v>
      </c>
      <c r="W104" s="31">
        <f t="shared" si="17"/>
        <v>983.84277522561308</v>
      </c>
      <c r="X104" s="33"/>
      <c r="Y104">
        <f>IF(Ondergrondscenarios[[#This Row],[Scenariotype '[-']]]="-","",IF(Ondergrondscenarios[[#This Row],[Scenariotype '[-']]]="Pleistoceen",VLOOKUP(Ondergrondscenarios[[#This Row],[Vaknaam '[-']]],DataDijkvakken[#All],8,FALSE),VLOOKUP(Ondergrondscenarios[[#This Row],[Vaknaam '[-']]],DataDijkvakken[#All],7,FALSE)))</f>
        <v>3.5000000000000005E-4</v>
      </c>
      <c r="Z104">
        <f>VLOOKUP($C104,DataDijkvakken[#All],3,FALSE)</f>
        <v>18</v>
      </c>
      <c r="AA104" s="8"/>
    </row>
    <row r="105" spans="1:27" x14ac:dyDescent="0.3">
      <c r="A105">
        <f>IFERROR(IF(Ondergrondscenarios[[#This Row],[Scenarionaam '[-']]]="","",A104+1),1)</f>
        <v>104</v>
      </c>
      <c r="B105">
        <f>A109/6</f>
        <v>18</v>
      </c>
      <c r="C105" t="str">
        <f>VLOOKUP(Ondergrondscenarios[[#This Row],[VakID '[-']]],DataDijkvakken!A:I,2,FALSE)</f>
        <v>06b</v>
      </c>
      <c r="D105" s="8" t="str">
        <f>GenererenScenarios!$B$4</f>
        <v>P_S2_HL_F</v>
      </c>
      <c r="E105" s="8" t="str">
        <f>GenererenScenarios!$C$4</f>
        <v>Holoceen</v>
      </c>
      <c r="F105" s="26">
        <v>0.5</v>
      </c>
      <c r="G105" s="29">
        <f>VLOOKUP($C105,DataDijkvakken!$B:$G,2,FALSE)</f>
        <v>1.5821438181818179</v>
      </c>
      <c r="H105" s="7"/>
      <c r="I105" s="7"/>
      <c r="J105" s="29">
        <v>-1.8</v>
      </c>
      <c r="K105" s="29">
        <f t="shared" si="12"/>
        <v>3.382143818181818</v>
      </c>
      <c r="L105" s="7">
        <v>4</v>
      </c>
      <c r="M105" s="29">
        <f>IF(Ondergrondscenarios[[#This Row],[Scenariotype '[-']]]="Tussenzandlaag",0,VLOOKUP($C105,DataDijkvakken[#All],4,FALSE))</f>
        <v>43.5</v>
      </c>
      <c r="N105" s="29">
        <f t="shared" si="13"/>
        <v>47.5</v>
      </c>
      <c r="O105" s="29">
        <f>VLOOKUP($C105,DataDijkvakken!$B:$G,5,FALSE)</f>
        <v>15</v>
      </c>
      <c r="P105" s="29">
        <f>VLOOKUP($C105,DataDijkvakken!$B:$G,6,FALSE)</f>
        <v>42.52873563218391</v>
      </c>
      <c r="Q105" s="29">
        <f t="shared" si="14"/>
        <v>40.210526315789473</v>
      </c>
      <c r="R105" s="7">
        <v>1910</v>
      </c>
      <c r="S105" s="27"/>
      <c r="T105" s="32">
        <f t="shared" si="15"/>
        <v>0</v>
      </c>
      <c r="U105" s="27"/>
      <c r="V105">
        <f t="shared" si="16"/>
        <v>203.21438181818181</v>
      </c>
      <c r="W105" s="31">
        <f t="shared" si="17"/>
        <v>623.0084022489001</v>
      </c>
      <c r="X105" s="33"/>
      <c r="Y105">
        <f>IF(Ondergrondscenarios[[#This Row],[Scenariotype '[-']]]="-","",IF(Ondergrondscenarios[[#This Row],[Scenariotype '[-']]]="Pleistoceen",VLOOKUP(Ondergrondscenarios[[#This Row],[Vaknaam '[-']]],DataDijkvakken[#All],8,FALSE),VLOOKUP(Ondergrondscenarios[[#This Row],[Vaknaam '[-']]],DataDijkvakken[#All],7,FALSE)))</f>
        <v>2.8000000000000003E-4</v>
      </c>
      <c r="Z105">
        <f>VLOOKUP($C105,DataDijkvakken[#All],3,FALSE)</f>
        <v>18</v>
      </c>
      <c r="AA105" s="8"/>
    </row>
    <row r="106" spans="1:27" x14ac:dyDescent="0.3">
      <c r="A106">
        <f>IFERROR(IF(Ondergrondscenarios[[#This Row],[Scenarionaam '[-']]]="","",A105+1),1)</f>
        <v>105</v>
      </c>
      <c r="B106">
        <f>A109/6</f>
        <v>18</v>
      </c>
      <c r="C106" t="str">
        <f>VLOOKUP(Ondergrondscenarios[[#This Row],[VakID '[-']]],DataDijkvakken!A:I,2,FALSE)</f>
        <v>06b</v>
      </c>
      <c r="D106" s="8" t="str">
        <f>GenererenScenarios!$B$5</f>
        <v>P_S3_HL_TZ</v>
      </c>
      <c r="E106" s="8" t="str">
        <f>GenererenScenarios!$C$5</f>
        <v>Tussenzandlaag</v>
      </c>
      <c r="F106" s="26">
        <v>0</v>
      </c>
      <c r="G106" s="29">
        <f>VLOOKUP($C106,DataDijkvakken!$B:$G,2,FALSE)</f>
        <v>1.5821438181818179</v>
      </c>
      <c r="H106" s="7"/>
      <c r="I106" s="7"/>
      <c r="J106" s="29"/>
      <c r="K106" s="29">
        <f t="shared" si="12"/>
        <v>1.5821438181818179</v>
      </c>
      <c r="L106" s="7"/>
      <c r="M106" s="29">
        <f>IF(Ondergrondscenarios[[#This Row],[Scenariotype '[-']]]="Tussenzandlaag",0,VLOOKUP($C106,DataDijkvakken[#All],4,FALSE))</f>
        <v>0</v>
      </c>
      <c r="N106" s="29">
        <f t="shared" si="13"/>
        <v>0.1</v>
      </c>
      <c r="O106" s="29">
        <f>VLOOKUP($C106,DataDijkvakken!$B:$G,5,FALSE)</f>
        <v>15</v>
      </c>
      <c r="P106" s="29">
        <f>VLOOKUP($C106,DataDijkvakken!$B:$G,6,FALSE)</f>
        <v>42.52873563218391</v>
      </c>
      <c r="Q106" s="29">
        <f t="shared" si="14"/>
        <v>0.1</v>
      </c>
      <c r="R106" s="7">
        <v>1.0000000000000002E-2</v>
      </c>
      <c r="S106" s="27"/>
      <c r="T106" s="32">
        <f t="shared" si="15"/>
        <v>0</v>
      </c>
      <c r="U106" s="27"/>
      <c r="V106">
        <f t="shared" si="16"/>
        <v>23.214381818181792</v>
      </c>
      <c r="W106" s="31">
        <f t="shared" si="17"/>
        <v>0.4818130531459458</v>
      </c>
      <c r="X106" s="33"/>
      <c r="Y106">
        <f>IF(Ondergrondscenarios[[#This Row],[Scenariotype '[-']]]="-","",IF(Ondergrondscenarios[[#This Row],[Scenariotype '[-']]]="Pleistoceen",VLOOKUP(Ondergrondscenarios[[#This Row],[Vaknaam '[-']]],DataDijkvakken[#All],8,FALSE),VLOOKUP(Ondergrondscenarios[[#This Row],[Vaknaam '[-']]],DataDijkvakken[#All],7,FALSE)))</f>
        <v>2.8000000000000003E-4</v>
      </c>
      <c r="Z106">
        <f>VLOOKUP($C106,DataDijkvakken[#All],3,FALSE)</f>
        <v>18</v>
      </c>
      <c r="AA106" s="8"/>
    </row>
    <row r="107" spans="1:27" x14ac:dyDescent="0.3">
      <c r="A107">
        <f>IFERROR(IF(Ondergrondscenarios[[#This Row],[Scenarionaam '[-']]]="","",A106+1),1)</f>
        <v>106</v>
      </c>
      <c r="B107">
        <f>A109/6</f>
        <v>18</v>
      </c>
      <c r="C107" t="str">
        <f>VLOOKUP(Ondergrondscenarios[[#This Row],[VakID '[-']]],DataDijkvakken!A:I,2,FALSE)</f>
        <v>06b</v>
      </c>
      <c r="D107" s="8" t="str">
        <f>GenererenScenarios!$B$6</f>
        <v>P_S4</v>
      </c>
      <c r="E107" s="8" t="str">
        <f>GenererenScenarios!$C$6</f>
        <v>-</v>
      </c>
      <c r="F107" s="26">
        <v>0</v>
      </c>
      <c r="G107" s="29">
        <f>VLOOKUP($C107,DataDijkvakken!$B:$G,2,FALSE)</f>
        <v>1.5821438181818179</v>
      </c>
      <c r="H107" s="7"/>
      <c r="I107" s="7"/>
      <c r="J107" s="29"/>
      <c r="K107" s="29">
        <f t="shared" si="12"/>
        <v>1.5821438181818179</v>
      </c>
      <c r="L107" s="7"/>
      <c r="M107" s="29">
        <f>IF(Ondergrondscenarios[[#This Row],[Scenariotype '[-']]]="Tussenzandlaag",0,VLOOKUP($C107,DataDijkvakken[#All],4,FALSE))</f>
        <v>43.5</v>
      </c>
      <c r="N107" s="29">
        <f t="shared" si="13"/>
        <v>43.5</v>
      </c>
      <c r="O107" s="29">
        <f>VLOOKUP($C107,DataDijkvakken!$B:$G,5,FALSE)</f>
        <v>15</v>
      </c>
      <c r="P107" s="29">
        <f>VLOOKUP($C107,DataDijkvakken!$B:$G,6,FALSE)</f>
        <v>42.52873563218391</v>
      </c>
      <c r="Q107" s="29">
        <f t="shared" si="14"/>
        <v>42.52873563218391</v>
      </c>
      <c r="R107" s="7">
        <v>1850</v>
      </c>
      <c r="S107" s="27"/>
      <c r="T107" s="32">
        <f t="shared" si="15"/>
        <v>0</v>
      </c>
      <c r="U107" s="27"/>
      <c r="V107">
        <f t="shared" si="16"/>
        <v>23.214381818181792</v>
      </c>
      <c r="W107" s="31">
        <f t="shared" si="17"/>
        <v>207.23563005341606</v>
      </c>
      <c r="X107" s="33"/>
      <c r="Y107" t="str">
        <f>IF(Ondergrondscenarios[[#This Row],[Scenariotype '[-']]]="-","",IF(Ondergrondscenarios[[#This Row],[Scenariotype '[-']]]="Pleistoceen",VLOOKUP(Ondergrondscenarios[[#This Row],[Vaknaam '[-']]],DataDijkvakken[#All],8,FALSE),VLOOKUP(Ondergrondscenarios[[#This Row],[Vaknaam '[-']]],DataDijkvakken[#All],7,FALSE)))</f>
        <v/>
      </c>
      <c r="Z107">
        <f>VLOOKUP($C107,DataDijkvakken[#All],3,FALSE)</f>
        <v>18</v>
      </c>
      <c r="AA107" s="8"/>
    </row>
    <row r="108" spans="1:27" x14ac:dyDescent="0.3">
      <c r="A108">
        <f>IFERROR(IF(Ondergrondscenarios[[#This Row],[Scenarionaam '[-']]]="","",A107+1),1)</f>
        <v>107</v>
      </c>
      <c r="B108">
        <f>A109/6</f>
        <v>18</v>
      </c>
      <c r="C108" t="str">
        <f>VLOOKUP(Ondergrondscenarios[[#This Row],[VakID '[-']]],DataDijkvakken!A:I,2,FALSE)</f>
        <v>06b</v>
      </c>
      <c r="D108" s="8" t="str">
        <f>GenererenScenarios!$B$7</f>
        <v>P_S5</v>
      </c>
      <c r="E108" s="8" t="str">
        <f>GenererenScenarios!$C$7</f>
        <v>-</v>
      </c>
      <c r="F108" s="26">
        <v>0</v>
      </c>
      <c r="G108" s="29">
        <f>VLOOKUP($C108,DataDijkvakken!$B:$G,2,FALSE)</f>
        <v>1.5821438181818179</v>
      </c>
      <c r="H108" s="7"/>
      <c r="I108" s="7"/>
      <c r="J108" s="29"/>
      <c r="K108" s="29">
        <f t="shared" si="12"/>
        <v>1.5821438181818179</v>
      </c>
      <c r="L108" s="7"/>
      <c r="M108" s="29">
        <f>IF(Ondergrondscenarios[[#This Row],[Scenariotype '[-']]]="Tussenzandlaag",0,VLOOKUP($C108,DataDijkvakken[#All],4,FALSE))</f>
        <v>43.5</v>
      </c>
      <c r="N108" s="29">
        <f t="shared" si="13"/>
        <v>43.5</v>
      </c>
      <c r="O108" s="29">
        <f>VLOOKUP($C108,DataDijkvakken!$B:$G,5,FALSE)</f>
        <v>15</v>
      </c>
      <c r="P108" s="29">
        <f>VLOOKUP($C108,DataDijkvakken!$B:$G,6,FALSE)</f>
        <v>42.52873563218391</v>
      </c>
      <c r="Q108" s="29">
        <f t="shared" si="14"/>
        <v>42.52873563218391</v>
      </c>
      <c r="R108" s="7">
        <v>1850</v>
      </c>
      <c r="S108" s="27"/>
      <c r="T108" s="32">
        <f t="shared" si="15"/>
        <v>0</v>
      </c>
      <c r="U108" s="27"/>
      <c r="V108">
        <f t="shared" si="16"/>
        <v>23.214381818181792</v>
      </c>
      <c r="W108" s="31">
        <f t="shared" si="17"/>
        <v>207.23563005341606</v>
      </c>
      <c r="X108" s="33"/>
      <c r="Y108" t="str">
        <f>IF(Ondergrondscenarios[[#This Row],[Scenariotype '[-']]]="-","",IF(Ondergrondscenarios[[#This Row],[Scenariotype '[-']]]="Pleistoceen",VLOOKUP(Ondergrondscenarios[[#This Row],[Vaknaam '[-']]],DataDijkvakken[#All],8,FALSE),VLOOKUP(Ondergrondscenarios[[#This Row],[Vaknaam '[-']]],DataDijkvakken[#All],7,FALSE)))</f>
        <v/>
      </c>
      <c r="Z108">
        <f>VLOOKUP($C108,DataDijkvakken[#All],3,FALSE)</f>
        <v>18</v>
      </c>
      <c r="AA108" s="8"/>
    </row>
    <row r="109" spans="1:27" x14ac:dyDescent="0.3">
      <c r="A109">
        <f>IFERROR(IF(Ondergrondscenarios[[#This Row],[Scenarionaam '[-']]]="","",A108+1),1)</f>
        <v>108</v>
      </c>
      <c r="B109">
        <f>A109/6</f>
        <v>18</v>
      </c>
      <c r="C109" t="str">
        <f>VLOOKUP(Ondergrondscenarios[[#This Row],[VakID '[-']]],DataDijkvakken!A:I,2,FALSE)</f>
        <v>06b</v>
      </c>
      <c r="D109" s="8" t="str">
        <f>GenererenScenarios!$B$8</f>
        <v>P_S6</v>
      </c>
      <c r="E109" s="8" t="str">
        <f>GenererenScenarios!$C$8</f>
        <v>-</v>
      </c>
      <c r="F109" s="26">
        <v>0</v>
      </c>
      <c r="G109" s="29">
        <f>VLOOKUP($C109,DataDijkvakken!$B:$G,2,FALSE)</f>
        <v>1.5821438181818179</v>
      </c>
      <c r="H109" s="7"/>
      <c r="I109" s="7"/>
      <c r="J109" s="29"/>
      <c r="K109" s="29">
        <f t="shared" si="12"/>
        <v>1.5821438181818179</v>
      </c>
      <c r="L109" s="7"/>
      <c r="M109" s="29">
        <f>IF(Ondergrondscenarios[[#This Row],[Scenariotype '[-']]]="Tussenzandlaag",0,VLOOKUP($C109,DataDijkvakken[#All],4,FALSE))</f>
        <v>43.5</v>
      </c>
      <c r="N109" s="29">
        <f t="shared" si="13"/>
        <v>43.5</v>
      </c>
      <c r="O109" s="29">
        <f>VLOOKUP($C109,DataDijkvakken!$B:$G,5,FALSE)</f>
        <v>15</v>
      </c>
      <c r="P109" s="29">
        <f>VLOOKUP($C109,DataDijkvakken!$B:$G,6,FALSE)</f>
        <v>42.52873563218391</v>
      </c>
      <c r="Q109" s="29">
        <f t="shared" si="14"/>
        <v>42.52873563218391</v>
      </c>
      <c r="R109" s="7">
        <v>1850</v>
      </c>
      <c r="S109" s="27"/>
      <c r="T109" s="32">
        <f t="shared" si="15"/>
        <v>0</v>
      </c>
      <c r="U109" s="27"/>
      <c r="V109">
        <f t="shared" si="16"/>
        <v>23.214381818181792</v>
      </c>
      <c r="W109" s="31">
        <f t="shared" si="17"/>
        <v>207.23563005341606</v>
      </c>
      <c r="X109" s="33"/>
      <c r="Y109" t="str">
        <f>IF(Ondergrondscenarios[[#This Row],[Scenariotype '[-']]]="-","",IF(Ondergrondscenarios[[#This Row],[Scenariotype '[-']]]="Pleistoceen",VLOOKUP(Ondergrondscenarios[[#This Row],[Vaknaam '[-']]],DataDijkvakken[#All],8,FALSE),VLOOKUP(Ondergrondscenarios[[#This Row],[Vaknaam '[-']]],DataDijkvakken[#All],7,FALSE)))</f>
        <v/>
      </c>
      <c r="Z109">
        <f>VLOOKUP($C109,DataDijkvakken[#All],3,FALSE)</f>
        <v>18</v>
      </c>
      <c r="AA109" s="8"/>
    </row>
    <row r="110" spans="1:27" x14ac:dyDescent="0.3">
      <c r="A110">
        <f>IFERROR(IF(Ondergrondscenarios[[#This Row],[Scenarionaam '[-']]]="","",A109+1),1)</f>
        <v>109</v>
      </c>
      <c r="B110">
        <f>A115/6</f>
        <v>19</v>
      </c>
      <c r="C110" t="str">
        <f>VLOOKUP(Ondergrondscenarios[[#This Row],[VakID '[-']]],DataDijkvakken!A:I,2,FALSE)</f>
        <v>07a</v>
      </c>
      <c r="D110" s="8" t="str">
        <f>GenererenScenarios!$B$3</f>
        <v>P_S1_PL</v>
      </c>
      <c r="E110" s="8" t="str">
        <f>GenererenScenarios!$C$3</f>
        <v>Pleistoceen</v>
      </c>
      <c r="F110" s="26">
        <v>0.5</v>
      </c>
      <c r="G110" s="29">
        <f>VLOOKUP($C110,DataDijkvakken!$B:$G,2,FALSE)</f>
        <v>1.5021889375000002</v>
      </c>
      <c r="H110" s="7"/>
      <c r="I110" s="7"/>
      <c r="J110" s="29">
        <v>-5</v>
      </c>
      <c r="K110" s="29">
        <f t="shared" si="12"/>
        <v>6.5021889374999997</v>
      </c>
      <c r="L110" s="7">
        <v>0</v>
      </c>
      <c r="M110" s="29">
        <f>IF(Ondergrondscenarios[[#This Row],[Scenariotype '[-']]]="Tussenzandlaag",0,VLOOKUP($C110,DataDijkvakken[#All],4,FALSE))</f>
        <v>43.5</v>
      </c>
      <c r="N110" s="29">
        <f t="shared" si="13"/>
        <v>43.5</v>
      </c>
      <c r="O110" s="29">
        <f>VLOOKUP($C110,DataDijkvakken!$B:$G,5,FALSE)</f>
        <v>15</v>
      </c>
      <c r="P110" s="29">
        <f>VLOOKUP($C110,DataDijkvakken!$B:$G,6,FALSE)</f>
        <v>42.52873563218391</v>
      </c>
      <c r="Q110" s="29">
        <f t="shared" si="14"/>
        <v>42.52873563218391</v>
      </c>
      <c r="R110" s="7">
        <v>1850</v>
      </c>
      <c r="S110" s="27"/>
      <c r="T110" s="32">
        <f t="shared" si="15"/>
        <v>0</v>
      </c>
      <c r="U110" s="27"/>
      <c r="V110">
        <f t="shared" si="16"/>
        <v>515.21889375000001</v>
      </c>
      <c r="W110" s="31">
        <f t="shared" si="17"/>
        <v>976.2965499465314</v>
      </c>
      <c r="X110" s="33"/>
      <c r="Y110">
        <f>IF(Ondergrondscenarios[[#This Row],[Scenariotype '[-']]]="-","",IF(Ondergrondscenarios[[#This Row],[Scenariotype '[-']]]="Pleistoceen",VLOOKUP(Ondergrondscenarios[[#This Row],[Vaknaam '[-']]],DataDijkvakken[#All],8,FALSE),VLOOKUP(Ondergrondscenarios[[#This Row],[Vaknaam '[-']]],DataDijkvakken[#All],7,FALSE)))</f>
        <v>3.5000000000000005E-4</v>
      </c>
      <c r="Z110">
        <f>VLOOKUP($C110,DataDijkvakken[#All],3,FALSE)</f>
        <v>18</v>
      </c>
      <c r="AA110" s="8"/>
    </row>
    <row r="111" spans="1:27" x14ac:dyDescent="0.3">
      <c r="A111">
        <f>IFERROR(IF(Ondergrondscenarios[[#This Row],[Scenarionaam '[-']]]="","",A110+1),1)</f>
        <v>110</v>
      </c>
      <c r="B111">
        <f>A115/6</f>
        <v>19</v>
      </c>
      <c r="C111" t="str">
        <f>VLOOKUP(Ondergrondscenarios[[#This Row],[VakID '[-']]],DataDijkvakken!A:I,2,FALSE)</f>
        <v>07a</v>
      </c>
      <c r="D111" s="8" t="str">
        <f>GenererenScenarios!$B$4</f>
        <v>P_S2_HL_F</v>
      </c>
      <c r="E111" s="8" t="str">
        <f>GenererenScenarios!$C$4</f>
        <v>Holoceen</v>
      </c>
      <c r="F111" s="26">
        <v>0.5</v>
      </c>
      <c r="G111" s="29">
        <f>VLOOKUP($C111,DataDijkvakken!$B:$G,2,FALSE)</f>
        <v>1.5021889375000002</v>
      </c>
      <c r="H111" s="7"/>
      <c r="I111" s="7"/>
      <c r="J111" s="29">
        <v>-2</v>
      </c>
      <c r="K111" s="29">
        <f t="shared" si="12"/>
        <v>3.5021889375000002</v>
      </c>
      <c r="L111" s="7">
        <v>3</v>
      </c>
      <c r="M111" s="29">
        <f>IF(Ondergrondscenarios[[#This Row],[Scenariotype '[-']]]="Tussenzandlaag",0,VLOOKUP($C111,DataDijkvakken[#All],4,FALSE))</f>
        <v>43.5</v>
      </c>
      <c r="N111" s="29">
        <f t="shared" si="13"/>
        <v>46.5</v>
      </c>
      <c r="O111" s="29">
        <f>VLOOKUP($C111,DataDijkvakken!$B:$G,5,FALSE)</f>
        <v>15</v>
      </c>
      <c r="P111" s="29">
        <f>VLOOKUP($C111,DataDijkvakken!$B:$G,6,FALSE)</f>
        <v>42.52873563218391</v>
      </c>
      <c r="Q111" s="29">
        <f t="shared" si="14"/>
        <v>40.752688172043008</v>
      </c>
      <c r="R111" s="7">
        <v>1895</v>
      </c>
      <c r="S111" s="27"/>
      <c r="T111" s="32">
        <f t="shared" si="15"/>
        <v>0</v>
      </c>
      <c r="U111" s="27"/>
      <c r="V111">
        <f t="shared" si="16"/>
        <v>215.21889375000001</v>
      </c>
      <c r="W111" s="31">
        <f t="shared" si="17"/>
        <v>638.62336604312407</v>
      </c>
      <c r="X111" s="33"/>
      <c r="Y111">
        <f>IF(Ondergrondscenarios[[#This Row],[Scenariotype '[-']]]="-","",IF(Ondergrondscenarios[[#This Row],[Scenariotype '[-']]]="Pleistoceen",VLOOKUP(Ondergrondscenarios[[#This Row],[Vaknaam '[-']]],DataDijkvakken[#All],8,FALSE),VLOOKUP(Ondergrondscenarios[[#This Row],[Vaknaam '[-']]],DataDijkvakken[#All],7,FALSE)))</f>
        <v>2.8000000000000003E-4</v>
      </c>
      <c r="Z111">
        <f>VLOOKUP($C111,DataDijkvakken[#All],3,FALSE)</f>
        <v>18</v>
      </c>
      <c r="AA111" s="8"/>
    </row>
    <row r="112" spans="1:27" x14ac:dyDescent="0.3">
      <c r="A112">
        <f>IFERROR(IF(Ondergrondscenarios[[#This Row],[Scenarionaam '[-']]]="","",A111+1),1)</f>
        <v>111</v>
      </c>
      <c r="B112">
        <f>A115/6</f>
        <v>19</v>
      </c>
      <c r="C112" t="str">
        <f>VLOOKUP(Ondergrondscenarios[[#This Row],[VakID '[-']]],DataDijkvakken!A:I,2,FALSE)</f>
        <v>07a</v>
      </c>
      <c r="D112" s="8" t="str">
        <f>GenererenScenarios!$B$5</f>
        <v>P_S3_HL_TZ</v>
      </c>
      <c r="E112" s="8" t="str">
        <f>GenererenScenarios!$C$5</f>
        <v>Tussenzandlaag</v>
      </c>
      <c r="F112" s="26">
        <v>0</v>
      </c>
      <c r="G112" s="29">
        <f>VLOOKUP($C112,DataDijkvakken!$B:$G,2,FALSE)</f>
        <v>1.5021889375000002</v>
      </c>
      <c r="H112" s="7"/>
      <c r="I112" s="7"/>
      <c r="J112" s="29"/>
      <c r="K112" s="29">
        <f t="shared" si="12"/>
        <v>1.5021889375000002</v>
      </c>
      <c r="L112" s="7"/>
      <c r="M112" s="29">
        <f>IF(Ondergrondscenarios[[#This Row],[Scenariotype '[-']]]="Tussenzandlaag",0,VLOOKUP($C112,DataDijkvakken[#All],4,FALSE))</f>
        <v>0</v>
      </c>
      <c r="N112" s="29">
        <f t="shared" si="13"/>
        <v>0.1</v>
      </c>
      <c r="O112" s="29">
        <f>VLOOKUP($C112,DataDijkvakken!$B:$G,5,FALSE)</f>
        <v>15</v>
      </c>
      <c r="P112" s="29">
        <f>VLOOKUP($C112,DataDijkvakken!$B:$G,6,FALSE)</f>
        <v>42.52873563218391</v>
      </c>
      <c r="Q112" s="29">
        <f t="shared" si="14"/>
        <v>0.1</v>
      </c>
      <c r="R112" s="7">
        <v>1.0000000000000002E-2</v>
      </c>
      <c r="S112" s="27"/>
      <c r="T112" s="32">
        <f t="shared" si="15"/>
        <v>0</v>
      </c>
      <c r="U112" s="27"/>
      <c r="V112">
        <f t="shared" si="16"/>
        <v>15.218893750000015</v>
      </c>
      <c r="W112" s="31">
        <f t="shared" si="17"/>
        <v>0.39011400577267175</v>
      </c>
      <c r="X112" s="33"/>
      <c r="Y112">
        <f>IF(Ondergrondscenarios[[#This Row],[Scenariotype '[-']]]="-","",IF(Ondergrondscenarios[[#This Row],[Scenariotype '[-']]]="Pleistoceen",VLOOKUP(Ondergrondscenarios[[#This Row],[Vaknaam '[-']]],DataDijkvakken[#All],8,FALSE),VLOOKUP(Ondergrondscenarios[[#This Row],[Vaknaam '[-']]],DataDijkvakken[#All],7,FALSE)))</f>
        <v>2.8000000000000003E-4</v>
      </c>
      <c r="Z112">
        <f>VLOOKUP($C112,DataDijkvakken[#All],3,FALSE)</f>
        <v>18</v>
      </c>
      <c r="AA112" s="8"/>
    </row>
    <row r="113" spans="1:27" x14ac:dyDescent="0.3">
      <c r="A113">
        <f>IFERROR(IF(Ondergrondscenarios[[#This Row],[Scenarionaam '[-']]]="","",A112+1),1)</f>
        <v>112</v>
      </c>
      <c r="B113">
        <f>A115/6</f>
        <v>19</v>
      </c>
      <c r="C113" t="str">
        <f>VLOOKUP(Ondergrondscenarios[[#This Row],[VakID '[-']]],DataDijkvakken!A:I,2,FALSE)</f>
        <v>07a</v>
      </c>
      <c r="D113" s="8" t="str">
        <f>GenererenScenarios!$B$6</f>
        <v>P_S4</v>
      </c>
      <c r="E113" s="8" t="str">
        <f>GenererenScenarios!$C$6</f>
        <v>-</v>
      </c>
      <c r="F113" s="26">
        <v>0</v>
      </c>
      <c r="G113" s="29">
        <f>VLOOKUP($C113,DataDijkvakken!$B:$G,2,FALSE)</f>
        <v>1.5021889375000002</v>
      </c>
      <c r="H113" s="7"/>
      <c r="I113" s="7"/>
      <c r="J113" s="29"/>
      <c r="K113" s="29">
        <f t="shared" si="12"/>
        <v>1.5021889375000002</v>
      </c>
      <c r="L113" s="7"/>
      <c r="M113" s="29">
        <f>IF(Ondergrondscenarios[[#This Row],[Scenariotype '[-']]]="Tussenzandlaag",0,VLOOKUP($C113,DataDijkvakken[#All],4,FALSE))</f>
        <v>43.5</v>
      </c>
      <c r="N113" s="29">
        <f t="shared" si="13"/>
        <v>43.5</v>
      </c>
      <c r="O113" s="29">
        <f>VLOOKUP($C113,DataDijkvakken!$B:$G,5,FALSE)</f>
        <v>15</v>
      </c>
      <c r="P113" s="29">
        <f>VLOOKUP($C113,DataDijkvakken!$B:$G,6,FALSE)</f>
        <v>42.52873563218391</v>
      </c>
      <c r="Q113" s="29">
        <f t="shared" si="14"/>
        <v>42.52873563218391</v>
      </c>
      <c r="R113" s="7">
        <v>1850</v>
      </c>
      <c r="S113" s="27"/>
      <c r="T113" s="32">
        <f t="shared" si="15"/>
        <v>0</v>
      </c>
      <c r="U113" s="27"/>
      <c r="V113">
        <f t="shared" si="16"/>
        <v>15.218893750000015</v>
      </c>
      <c r="W113" s="31">
        <f t="shared" si="17"/>
        <v>167.79437844427335</v>
      </c>
      <c r="X113" s="33"/>
      <c r="Y113" t="str">
        <f>IF(Ondergrondscenarios[[#This Row],[Scenariotype '[-']]]="-","",IF(Ondergrondscenarios[[#This Row],[Scenariotype '[-']]]="Pleistoceen",VLOOKUP(Ondergrondscenarios[[#This Row],[Vaknaam '[-']]],DataDijkvakken[#All],8,FALSE),VLOOKUP(Ondergrondscenarios[[#This Row],[Vaknaam '[-']]],DataDijkvakken[#All],7,FALSE)))</f>
        <v/>
      </c>
      <c r="Z113">
        <f>VLOOKUP($C113,DataDijkvakken[#All],3,FALSE)</f>
        <v>18</v>
      </c>
      <c r="AA113" s="8"/>
    </row>
    <row r="114" spans="1:27" x14ac:dyDescent="0.3">
      <c r="A114">
        <f>IFERROR(IF(Ondergrondscenarios[[#This Row],[Scenarionaam '[-']]]="","",A113+1),1)</f>
        <v>113</v>
      </c>
      <c r="B114">
        <f>A115/6</f>
        <v>19</v>
      </c>
      <c r="C114" t="str">
        <f>VLOOKUP(Ondergrondscenarios[[#This Row],[VakID '[-']]],DataDijkvakken!A:I,2,FALSE)</f>
        <v>07a</v>
      </c>
      <c r="D114" s="8" t="str">
        <f>GenererenScenarios!$B$7</f>
        <v>P_S5</v>
      </c>
      <c r="E114" s="8" t="str">
        <f>GenererenScenarios!$C$7</f>
        <v>-</v>
      </c>
      <c r="F114" s="26">
        <v>0</v>
      </c>
      <c r="G114" s="29">
        <f>VLOOKUP($C114,DataDijkvakken!$B:$G,2,FALSE)</f>
        <v>1.5021889375000002</v>
      </c>
      <c r="H114" s="7"/>
      <c r="I114" s="7"/>
      <c r="J114" s="29"/>
      <c r="K114" s="29">
        <f t="shared" si="12"/>
        <v>1.5021889375000002</v>
      </c>
      <c r="L114" s="7"/>
      <c r="M114" s="29">
        <f>IF(Ondergrondscenarios[[#This Row],[Scenariotype '[-']]]="Tussenzandlaag",0,VLOOKUP($C114,DataDijkvakken[#All],4,FALSE))</f>
        <v>43.5</v>
      </c>
      <c r="N114" s="29">
        <f t="shared" si="13"/>
        <v>43.5</v>
      </c>
      <c r="O114" s="29">
        <f>VLOOKUP($C114,DataDijkvakken!$B:$G,5,FALSE)</f>
        <v>15</v>
      </c>
      <c r="P114" s="29">
        <f>VLOOKUP($C114,DataDijkvakken!$B:$G,6,FALSE)</f>
        <v>42.52873563218391</v>
      </c>
      <c r="Q114" s="29">
        <f t="shared" si="14"/>
        <v>42.52873563218391</v>
      </c>
      <c r="R114" s="7">
        <v>1850</v>
      </c>
      <c r="S114" s="27"/>
      <c r="T114" s="32">
        <f t="shared" si="15"/>
        <v>0</v>
      </c>
      <c r="U114" s="27"/>
      <c r="V114">
        <f t="shared" si="16"/>
        <v>15.218893750000015</v>
      </c>
      <c r="W114" s="31">
        <f t="shared" si="17"/>
        <v>167.79437844427335</v>
      </c>
      <c r="X114" s="33"/>
      <c r="Y114" t="str">
        <f>IF(Ondergrondscenarios[[#This Row],[Scenariotype '[-']]]="-","",IF(Ondergrondscenarios[[#This Row],[Scenariotype '[-']]]="Pleistoceen",VLOOKUP(Ondergrondscenarios[[#This Row],[Vaknaam '[-']]],DataDijkvakken[#All],8,FALSE),VLOOKUP(Ondergrondscenarios[[#This Row],[Vaknaam '[-']]],DataDijkvakken[#All],7,FALSE)))</f>
        <v/>
      </c>
      <c r="Z114">
        <f>VLOOKUP($C114,DataDijkvakken[#All],3,FALSE)</f>
        <v>18</v>
      </c>
      <c r="AA114" s="8"/>
    </row>
    <row r="115" spans="1:27" x14ac:dyDescent="0.3">
      <c r="A115">
        <f>IFERROR(IF(Ondergrondscenarios[[#This Row],[Scenarionaam '[-']]]="","",A114+1),1)</f>
        <v>114</v>
      </c>
      <c r="B115">
        <f>A115/6</f>
        <v>19</v>
      </c>
      <c r="C115" t="str">
        <f>VLOOKUP(Ondergrondscenarios[[#This Row],[VakID '[-']]],DataDijkvakken!A:I,2,FALSE)</f>
        <v>07a</v>
      </c>
      <c r="D115" s="8" t="str">
        <f>GenererenScenarios!$B$8</f>
        <v>P_S6</v>
      </c>
      <c r="E115" s="8" t="str">
        <f>GenererenScenarios!$C$8</f>
        <v>-</v>
      </c>
      <c r="F115" s="26">
        <v>0</v>
      </c>
      <c r="G115" s="29">
        <f>VLOOKUP($C115,DataDijkvakken!$B:$G,2,FALSE)</f>
        <v>1.5021889375000002</v>
      </c>
      <c r="H115" s="7"/>
      <c r="I115" s="7"/>
      <c r="J115" s="29"/>
      <c r="K115" s="29">
        <f t="shared" si="12"/>
        <v>1.5021889375000002</v>
      </c>
      <c r="L115" s="7"/>
      <c r="M115" s="29">
        <f>IF(Ondergrondscenarios[[#This Row],[Scenariotype '[-']]]="Tussenzandlaag",0,VLOOKUP($C115,DataDijkvakken[#All],4,FALSE))</f>
        <v>43.5</v>
      </c>
      <c r="N115" s="29">
        <f t="shared" si="13"/>
        <v>43.5</v>
      </c>
      <c r="O115" s="29">
        <f>VLOOKUP($C115,DataDijkvakken!$B:$G,5,FALSE)</f>
        <v>15</v>
      </c>
      <c r="P115" s="29">
        <f>VLOOKUP($C115,DataDijkvakken!$B:$G,6,FALSE)</f>
        <v>42.52873563218391</v>
      </c>
      <c r="Q115" s="29">
        <f t="shared" si="14"/>
        <v>42.52873563218391</v>
      </c>
      <c r="R115" s="7">
        <v>1850</v>
      </c>
      <c r="S115" s="27"/>
      <c r="T115" s="32">
        <f t="shared" si="15"/>
        <v>0</v>
      </c>
      <c r="U115" s="27"/>
      <c r="V115">
        <f t="shared" si="16"/>
        <v>15.218893750000015</v>
      </c>
      <c r="W115" s="31">
        <f t="shared" si="17"/>
        <v>167.79437844427335</v>
      </c>
      <c r="X115" s="33"/>
      <c r="Y115" t="str">
        <f>IF(Ondergrondscenarios[[#This Row],[Scenariotype '[-']]]="-","",IF(Ondergrondscenarios[[#This Row],[Scenariotype '[-']]]="Pleistoceen",VLOOKUP(Ondergrondscenarios[[#This Row],[Vaknaam '[-']]],DataDijkvakken[#All],8,FALSE),VLOOKUP(Ondergrondscenarios[[#This Row],[Vaknaam '[-']]],DataDijkvakken[#All],7,FALSE)))</f>
        <v/>
      </c>
      <c r="Z115">
        <f>VLOOKUP($C115,DataDijkvakken[#All],3,FALSE)</f>
        <v>18</v>
      </c>
      <c r="AA115" s="8"/>
    </row>
    <row r="116" spans="1:27" x14ac:dyDescent="0.3">
      <c r="A116">
        <f>IFERROR(IF(Ondergrondscenarios[[#This Row],[Scenarionaam '[-']]]="","",A115+1),1)</f>
        <v>115</v>
      </c>
      <c r="B116">
        <f>A121/6</f>
        <v>20</v>
      </c>
      <c r="C116" t="str">
        <f>VLOOKUP(Ondergrondscenarios[[#This Row],[VakID '[-']]],DataDijkvakken!A:I,2,FALSE)</f>
        <v>07b</v>
      </c>
      <c r="D116" s="8" t="str">
        <f>GenererenScenarios!$B$3</f>
        <v>P_S1_PL</v>
      </c>
      <c r="E116" s="8" t="str">
        <f>GenererenScenarios!$C$3</f>
        <v>Pleistoceen</v>
      </c>
      <c r="F116" s="26">
        <v>0.9</v>
      </c>
      <c r="G116" s="29">
        <f>VLOOKUP($C116,DataDijkvakken!$B:$G,2,FALSE)</f>
        <v>1.95847375</v>
      </c>
      <c r="H116" s="7"/>
      <c r="I116" s="7"/>
      <c r="J116" s="29">
        <v>-5.5</v>
      </c>
      <c r="K116" s="29">
        <f t="shared" si="12"/>
        <v>7.4584737499999996</v>
      </c>
      <c r="L116" s="7">
        <v>0</v>
      </c>
      <c r="M116" s="29">
        <f>IF(Ondergrondscenarios[[#This Row],[Scenariotype '[-']]]="Tussenzandlaag",0,VLOOKUP($C116,DataDijkvakken[#All],4,FALSE))</f>
        <v>43.5</v>
      </c>
      <c r="N116" s="29">
        <f t="shared" si="13"/>
        <v>43.5</v>
      </c>
      <c r="O116" s="29">
        <f>VLOOKUP($C116,DataDijkvakken!$B:$G,5,FALSE)</f>
        <v>15</v>
      </c>
      <c r="P116" s="29">
        <f>VLOOKUP($C116,DataDijkvakken!$B:$G,6,FALSE)</f>
        <v>42.52873563218391</v>
      </c>
      <c r="Q116" s="29">
        <f t="shared" si="14"/>
        <v>42.52873563218391</v>
      </c>
      <c r="R116" s="7">
        <v>1850</v>
      </c>
      <c r="S116" s="27"/>
      <c r="T116" s="32">
        <f t="shared" si="15"/>
        <v>0</v>
      </c>
      <c r="U116" s="27"/>
      <c r="V116">
        <f t="shared" si="16"/>
        <v>610.84737499999994</v>
      </c>
      <c r="W116" s="31">
        <f t="shared" si="17"/>
        <v>1063.0463977409452</v>
      </c>
      <c r="X116" s="33"/>
      <c r="Y116">
        <f>IF(Ondergrondscenarios[[#This Row],[Scenariotype '[-']]]="-","",IF(Ondergrondscenarios[[#This Row],[Scenariotype '[-']]]="Pleistoceen",VLOOKUP(Ondergrondscenarios[[#This Row],[Vaknaam '[-']]],DataDijkvakken[#All],8,FALSE),VLOOKUP(Ondergrondscenarios[[#This Row],[Vaknaam '[-']]],DataDijkvakken[#All],7,FALSE)))</f>
        <v>3.5000000000000005E-4</v>
      </c>
      <c r="Z116">
        <f>VLOOKUP($C116,DataDijkvakken[#All],3,FALSE)</f>
        <v>18</v>
      </c>
      <c r="AA116" s="8"/>
    </row>
    <row r="117" spans="1:27" x14ac:dyDescent="0.3">
      <c r="A117">
        <f>IFERROR(IF(Ondergrondscenarios[[#This Row],[Scenarionaam '[-']]]="","",A116+1),1)</f>
        <v>116</v>
      </c>
      <c r="B117">
        <f>A121/6</f>
        <v>20</v>
      </c>
      <c r="C117" t="str">
        <f>VLOOKUP(Ondergrondscenarios[[#This Row],[VakID '[-']]],DataDijkvakken!A:I,2,FALSE)</f>
        <v>07b</v>
      </c>
      <c r="D117" s="8" t="str">
        <f>GenererenScenarios!$B$4</f>
        <v>P_S2_HL_F</v>
      </c>
      <c r="E117" s="8" t="str">
        <f>GenererenScenarios!$C$4</f>
        <v>Holoceen</v>
      </c>
      <c r="F117" s="26">
        <v>0</v>
      </c>
      <c r="G117" s="29">
        <f>VLOOKUP($C117,DataDijkvakken!$B:$G,2,FALSE)</f>
        <v>1.95847375</v>
      </c>
      <c r="H117" s="7"/>
      <c r="I117" s="7"/>
      <c r="J117" s="29"/>
      <c r="K117" s="29">
        <f t="shared" si="12"/>
        <v>1.95847375</v>
      </c>
      <c r="L117" s="7"/>
      <c r="M117" s="29">
        <f>IF(Ondergrondscenarios[[#This Row],[Scenariotype '[-']]]="Tussenzandlaag",0,VLOOKUP($C117,DataDijkvakken[#All],4,FALSE))</f>
        <v>43.5</v>
      </c>
      <c r="N117" s="29">
        <f t="shared" si="13"/>
        <v>43.5</v>
      </c>
      <c r="O117" s="29">
        <f>VLOOKUP($C117,DataDijkvakken!$B:$G,5,FALSE)</f>
        <v>15</v>
      </c>
      <c r="P117" s="29">
        <f>VLOOKUP($C117,DataDijkvakken!$B:$G,6,FALSE)</f>
        <v>42.52873563218391</v>
      </c>
      <c r="Q117" s="29">
        <f t="shared" si="14"/>
        <v>42.52873563218391</v>
      </c>
      <c r="R117" s="7">
        <v>1850</v>
      </c>
      <c r="S117" s="27"/>
      <c r="T117" s="32">
        <f t="shared" si="15"/>
        <v>0</v>
      </c>
      <c r="U117" s="27"/>
      <c r="V117">
        <f t="shared" si="16"/>
        <v>60.847375</v>
      </c>
      <c r="W117" s="31">
        <f t="shared" si="17"/>
        <v>335.51101882054485</v>
      </c>
      <c r="X117" s="33"/>
      <c r="Y117">
        <f>IF(Ondergrondscenarios[[#This Row],[Scenariotype '[-']]]="-","",IF(Ondergrondscenarios[[#This Row],[Scenariotype '[-']]]="Pleistoceen",VLOOKUP(Ondergrondscenarios[[#This Row],[Vaknaam '[-']]],DataDijkvakken[#All],8,FALSE),VLOOKUP(Ondergrondscenarios[[#This Row],[Vaknaam '[-']]],DataDijkvakken[#All],7,FALSE)))</f>
        <v>2.5999999999999998E-4</v>
      </c>
      <c r="Z117">
        <f>VLOOKUP($C117,DataDijkvakken[#All],3,FALSE)</f>
        <v>18</v>
      </c>
      <c r="AA117" s="8"/>
    </row>
    <row r="118" spans="1:27" x14ac:dyDescent="0.3">
      <c r="A118">
        <f>IFERROR(IF(Ondergrondscenarios[[#This Row],[Scenarionaam '[-']]]="","",A117+1),1)</f>
        <v>117</v>
      </c>
      <c r="B118">
        <f>A121/6</f>
        <v>20</v>
      </c>
      <c r="C118" t="str">
        <f>VLOOKUP(Ondergrondscenarios[[#This Row],[VakID '[-']]],DataDijkvakken!A:I,2,FALSE)</f>
        <v>07b</v>
      </c>
      <c r="D118" s="8" t="str">
        <f>GenererenScenarios!$B$5</f>
        <v>P_S3_HL_TZ</v>
      </c>
      <c r="E118" s="8" t="str">
        <f>GenererenScenarios!$C$5</f>
        <v>Tussenzandlaag</v>
      </c>
      <c r="F118" s="26">
        <v>0.1</v>
      </c>
      <c r="G118" s="29">
        <f>VLOOKUP($C118,DataDijkvakken!$B:$G,2,FALSE)</f>
        <v>1.95847375</v>
      </c>
      <c r="H118" s="7"/>
      <c r="I118" s="7"/>
      <c r="J118" s="29">
        <v>10</v>
      </c>
      <c r="K118" s="29">
        <f t="shared" si="12"/>
        <v>0</v>
      </c>
      <c r="L118" s="7">
        <v>8</v>
      </c>
      <c r="M118" s="29">
        <f>IF(Ondergrondscenarios[[#This Row],[Scenariotype '[-']]]="Tussenzandlaag",0,VLOOKUP($C118,DataDijkvakken[#All],4,FALSE))</f>
        <v>0</v>
      </c>
      <c r="N118" s="29">
        <f t="shared" si="13"/>
        <v>8</v>
      </c>
      <c r="O118" s="29">
        <f>VLOOKUP($C118,DataDijkvakken!$B:$G,5,FALSE)</f>
        <v>15</v>
      </c>
      <c r="P118" s="29">
        <f>VLOOKUP($C118,DataDijkvakken!$B:$G,6,FALSE)</f>
        <v>42.52873563218391</v>
      </c>
      <c r="Q118" s="29">
        <f t="shared" si="14"/>
        <v>15</v>
      </c>
      <c r="R118" s="7">
        <v>120</v>
      </c>
      <c r="S118" s="27"/>
      <c r="T118" s="32">
        <f t="shared" si="15"/>
        <v>0</v>
      </c>
      <c r="U118" s="27"/>
      <c r="V118">
        <f t="shared" si="16"/>
        <v>0</v>
      </c>
      <c r="W118" s="31">
        <f t="shared" si="17"/>
        <v>0</v>
      </c>
      <c r="X118" s="33"/>
      <c r="Y118">
        <f>IF(Ondergrondscenarios[[#This Row],[Scenariotype '[-']]]="-","",IF(Ondergrondscenarios[[#This Row],[Scenariotype '[-']]]="Pleistoceen",VLOOKUP(Ondergrondscenarios[[#This Row],[Vaknaam '[-']]],DataDijkvakken[#All],8,FALSE),VLOOKUP(Ondergrondscenarios[[#This Row],[Vaknaam '[-']]],DataDijkvakken[#All],7,FALSE)))</f>
        <v>2.5999999999999998E-4</v>
      </c>
      <c r="Z118">
        <f>VLOOKUP($C118,DataDijkvakken[#All],3,FALSE)</f>
        <v>18</v>
      </c>
      <c r="AA118" s="8"/>
    </row>
    <row r="119" spans="1:27" x14ac:dyDescent="0.3">
      <c r="A119">
        <f>IFERROR(IF(Ondergrondscenarios[[#This Row],[Scenarionaam '[-']]]="","",A118+1),1)</f>
        <v>118</v>
      </c>
      <c r="B119">
        <f>A121/6</f>
        <v>20</v>
      </c>
      <c r="C119" t="str">
        <f>VLOOKUP(Ondergrondscenarios[[#This Row],[VakID '[-']]],DataDijkvakken!A:I,2,FALSE)</f>
        <v>07b</v>
      </c>
      <c r="D119" s="8" t="str">
        <f>GenererenScenarios!$B$6</f>
        <v>P_S4</v>
      </c>
      <c r="E119" s="8" t="str">
        <f>GenererenScenarios!$C$6</f>
        <v>-</v>
      </c>
      <c r="F119" s="26">
        <v>0</v>
      </c>
      <c r="G119" s="29">
        <f>VLOOKUP($C119,DataDijkvakken!$B:$G,2,FALSE)</f>
        <v>1.95847375</v>
      </c>
      <c r="H119" s="7"/>
      <c r="I119" s="7"/>
      <c r="J119" s="29"/>
      <c r="K119" s="29">
        <f t="shared" si="12"/>
        <v>1.95847375</v>
      </c>
      <c r="L119" s="7"/>
      <c r="M119" s="29">
        <f>IF(Ondergrondscenarios[[#This Row],[Scenariotype '[-']]]="Tussenzandlaag",0,VLOOKUP($C119,DataDijkvakken[#All],4,FALSE))</f>
        <v>43.5</v>
      </c>
      <c r="N119" s="29">
        <f t="shared" si="13"/>
        <v>43.5</v>
      </c>
      <c r="O119" s="29">
        <f>VLOOKUP($C119,DataDijkvakken!$B:$G,5,FALSE)</f>
        <v>15</v>
      </c>
      <c r="P119" s="29">
        <f>VLOOKUP($C119,DataDijkvakken!$B:$G,6,FALSE)</f>
        <v>42.52873563218391</v>
      </c>
      <c r="Q119" s="29">
        <f t="shared" si="14"/>
        <v>42.52873563218391</v>
      </c>
      <c r="R119" s="7">
        <v>1850</v>
      </c>
      <c r="S119" s="27"/>
      <c r="T119" s="32">
        <f t="shared" si="15"/>
        <v>0</v>
      </c>
      <c r="U119" s="27"/>
      <c r="V119">
        <f t="shared" si="16"/>
        <v>60.847375</v>
      </c>
      <c r="W119" s="31">
        <f t="shared" si="17"/>
        <v>335.51101882054485</v>
      </c>
      <c r="X119" s="33"/>
      <c r="Y119" t="str">
        <f>IF(Ondergrondscenarios[[#This Row],[Scenariotype '[-']]]="-","",IF(Ondergrondscenarios[[#This Row],[Scenariotype '[-']]]="Pleistoceen",VLOOKUP(Ondergrondscenarios[[#This Row],[Vaknaam '[-']]],DataDijkvakken[#All],8,FALSE),VLOOKUP(Ondergrondscenarios[[#This Row],[Vaknaam '[-']]],DataDijkvakken[#All],7,FALSE)))</f>
        <v/>
      </c>
      <c r="Z119">
        <f>VLOOKUP($C119,DataDijkvakken[#All],3,FALSE)</f>
        <v>18</v>
      </c>
      <c r="AA119" s="8"/>
    </row>
    <row r="120" spans="1:27" x14ac:dyDescent="0.3">
      <c r="A120">
        <f>IFERROR(IF(Ondergrondscenarios[[#This Row],[Scenarionaam '[-']]]="","",A119+1),1)</f>
        <v>119</v>
      </c>
      <c r="B120">
        <f>A121/6</f>
        <v>20</v>
      </c>
      <c r="C120" t="str">
        <f>VLOOKUP(Ondergrondscenarios[[#This Row],[VakID '[-']]],DataDijkvakken!A:I,2,FALSE)</f>
        <v>07b</v>
      </c>
      <c r="D120" s="8" t="str">
        <f>GenererenScenarios!$B$7</f>
        <v>P_S5</v>
      </c>
      <c r="E120" s="8" t="str">
        <f>GenererenScenarios!$C$7</f>
        <v>-</v>
      </c>
      <c r="F120" s="26">
        <v>0</v>
      </c>
      <c r="G120" s="29">
        <f>VLOOKUP($C120,DataDijkvakken!$B:$G,2,FALSE)</f>
        <v>1.95847375</v>
      </c>
      <c r="H120" s="7"/>
      <c r="I120" s="7"/>
      <c r="J120" s="29"/>
      <c r="K120" s="29">
        <f t="shared" si="12"/>
        <v>1.95847375</v>
      </c>
      <c r="L120" s="7"/>
      <c r="M120" s="29">
        <f>IF(Ondergrondscenarios[[#This Row],[Scenariotype '[-']]]="Tussenzandlaag",0,VLOOKUP($C120,DataDijkvakken[#All],4,FALSE))</f>
        <v>43.5</v>
      </c>
      <c r="N120" s="29">
        <f t="shared" si="13"/>
        <v>43.5</v>
      </c>
      <c r="O120" s="29">
        <f>VLOOKUP($C120,DataDijkvakken!$B:$G,5,FALSE)</f>
        <v>15</v>
      </c>
      <c r="P120" s="29">
        <f>VLOOKUP($C120,DataDijkvakken!$B:$G,6,FALSE)</f>
        <v>42.52873563218391</v>
      </c>
      <c r="Q120" s="29">
        <f t="shared" si="14"/>
        <v>42.52873563218391</v>
      </c>
      <c r="R120" s="7">
        <v>1850</v>
      </c>
      <c r="S120" s="27"/>
      <c r="T120" s="32">
        <f t="shared" si="15"/>
        <v>0</v>
      </c>
      <c r="U120" s="27"/>
      <c r="V120">
        <f t="shared" si="16"/>
        <v>60.847375</v>
      </c>
      <c r="W120" s="31">
        <f t="shared" si="17"/>
        <v>335.51101882054485</v>
      </c>
      <c r="X120" s="33"/>
      <c r="Y120" t="str">
        <f>IF(Ondergrondscenarios[[#This Row],[Scenariotype '[-']]]="-","",IF(Ondergrondscenarios[[#This Row],[Scenariotype '[-']]]="Pleistoceen",VLOOKUP(Ondergrondscenarios[[#This Row],[Vaknaam '[-']]],DataDijkvakken[#All],8,FALSE),VLOOKUP(Ondergrondscenarios[[#This Row],[Vaknaam '[-']]],DataDijkvakken[#All],7,FALSE)))</f>
        <v/>
      </c>
      <c r="Z120">
        <f>VLOOKUP($C120,DataDijkvakken[#All],3,FALSE)</f>
        <v>18</v>
      </c>
      <c r="AA120" s="8"/>
    </row>
    <row r="121" spans="1:27" x14ac:dyDescent="0.3">
      <c r="A121">
        <f>IFERROR(IF(Ondergrondscenarios[[#This Row],[Scenarionaam '[-']]]="","",A120+1),1)</f>
        <v>120</v>
      </c>
      <c r="B121">
        <f>A121/6</f>
        <v>20</v>
      </c>
      <c r="C121" t="str">
        <f>VLOOKUP(Ondergrondscenarios[[#This Row],[VakID '[-']]],DataDijkvakken!A:I,2,FALSE)</f>
        <v>07b</v>
      </c>
      <c r="D121" s="8" t="str">
        <f>GenererenScenarios!$B$8</f>
        <v>P_S6</v>
      </c>
      <c r="E121" s="8" t="str">
        <f>GenererenScenarios!$C$8</f>
        <v>-</v>
      </c>
      <c r="F121" s="26">
        <v>0</v>
      </c>
      <c r="G121" s="29">
        <f>VLOOKUP($C121,DataDijkvakken!$B:$G,2,FALSE)</f>
        <v>1.95847375</v>
      </c>
      <c r="H121" s="7"/>
      <c r="I121" s="7"/>
      <c r="J121" s="29"/>
      <c r="K121" s="29">
        <f t="shared" si="12"/>
        <v>1.95847375</v>
      </c>
      <c r="L121" s="7"/>
      <c r="M121" s="29">
        <f>IF(Ondergrondscenarios[[#This Row],[Scenariotype '[-']]]="Tussenzandlaag",0,VLOOKUP($C121,DataDijkvakken[#All],4,FALSE))</f>
        <v>43.5</v>
      </c>
      <c r="N121" s="29">
        <f t="shared" si="13"/>
        <v>43.5</v>
      </c>
      <c r="O121" s="29">
        <f>VLOOKUP($C121,DataDijkvakken!$B:$G,5,FALSE)</f>
        <v>15</v>
      </c>
      <c r="P121" s="29">
        <f>VLOOKUP($C121,DataDijkvakken!$B:$G,6,FALSE)</f>
        <v>42.52873563218391</v>
      </c>
      <c r="Q121" s="29">
        <f t="shared" si="14"/>
        <v>42.52873563218391</v>
      </c>
      <c r="R121" s="7">
        <v>1850</v>
      </c>
      <c r="S121" s="27"/>
      <c r="T121" s="32">
        <f t="shared" si="15"/>
        <v>0</v>
      </c>
      <c r="U121" s="27"/>
      <c r="V121">
        <f t="shared" si="16"/>
        <v>60.847375</v>
      </c>
      <c r="W121" s="31">
        <f t="shared" si="17"/>
        <v>335.51101882054485</v>
      </c>
      <c r="X121" s="33"/>
      <c r="Y121" t="str">
        <f>IF(Ondergrondscenarios[[#This Row],[Scenariotype '[-']]]="-","",IF(Ondergrondscenarios[[#This Row],[Scenariotype '[-']]]="Pleistoceen",VLOOKUP(Ondergrondscenarios[[#This Row],[Vaknaam '[-']]],DataDijkvakken[#All],8,FALSE),VLOOKUP(Ondergrondscenarios[[#This Row],[Vaknaam '[-']]],DataDijkvakken[#All],7,FALSE)))</f>
        <v/>
      </c>
      <c r="Z121">
        <f>VLOOKUP($C121,DataDijkvakken[#All],3,FALSE)</f>
        <v>18</v>
      </c>
      <c r="AA121" s="8"/>
    </row>
    <row r="122" spans="1:27" x14ac:dyDescent="0.3">
      <c r="A122">
        <f>IFERROR(IF(Ondergrondscenarios[[#This Row],[Scenarionaam '[-']]]="","",A121+1),1)</f>
        <v>121</v>
      </c>
      <c r="B122">
        <f>A127/6</f>
        <v>21</v>
      </c>
      <c r="C122" t="str">
        <f>VLOOKUP(Ondergrondscenarios[[#This Row],[VakID '[-']]],DataDijkvakken!A:I,2,FALSE)</f>
        <v>07c</v>
      </c>
      <c r="D122" s="8" t="str">
        <f>GenererenScenarios!$B$3</f>
        <v>P_S1_PL</v>
      </c>
      <c r="E122" s="8" t="str">
        <f>GenererenScenarios!$C$3</f>
        <v>Pleistoceen</v>
      </c>
      <c r="F122" s="26">
        <v>0.45</v>
      </c>
      <c r="G122" s="29">
        <f>VLOOKUP($C122,DataDijkvakken!$B:$G,2,FALSE)</f>
        <v>2.8820100000000002</v>
      </c>
      <c r="H122" s="7"/>
      <c r="I122" s="7"/>
      <c r="J122" s="29">
        <v>-6.5</v>
      </c>
      <c r="K122" s="29">
        <f t="shared" si="12"/>
        <v>9.3820100000000011</v>
      </c>
      <c r="L122" s="7">
        <v>0</v>
      </c>
      <c r="M122" s="29">
        <f>IF(Ondergrondscenarios[[#This Row],[Scenariotype '[-']]]="Tussenzandlaag",0,VLOOKUP($C122,DataDijkvakken[#All],4,FALSE))</f>
        <v>43.5</v>
      </c>
      <c r="N122" s="29">
        <f t="shared" si="13"/>
        <v>43.5</v>
      </c>
      <c r="O122" s="29">
        <f>VLOOKUP($C122,DataDijkvakken!$B:$G,5,FALSE)</f>
        <v>15</v>
      </c>
      <c r="P122" s="29">
        <f>VLOOKUP($C122,DataDijkvakken!$B:$G,6,FALSE)</f>
        <v>42.52873563218391</v>
      </c>
      <c r="Q122" s="29">
        <f t="shared" si="14"/>
        <v>42.52873563218391</v>
      </c>
      <c r="R122" s="7">
        <v>1850</v>
      </c>
      <c r="S122" s="27"/>
      <c r="T122" s="32">
        <f t="shared" si="15"/>
        <v>0</v>
      </c>
      <c r="U122" s="27"/>
      <c r="V122">
        <f t="shared" si="16"/>
        <v>803.20100000000014</v>
      </c>
      <c r="W122" s="31">
        <f t="shared" si="17"/>
        <v>1218.9839416497662</v>
      </c>
      <c r="X122" s="33"/>
      <c r="Y122">
        <f>IF(Ondergrondscenarios[[#This Row],[Scenariotype '[-']]]="-","",IF(Ondergrondscenarios[[#This Row],[Scenariotype '[-']]]="Pleistoceen",VLOOKUP(Ondergrondscenarios[[#This Row],[Vaknaam '[-']]],DataDijkvakken[#All],8,FALSE),VLOOKUP(Ondergrondscenarios[[#This Row],[Vaknaam '[-']]],DataDijkvakken[#All],7,FALSE)))</f>
        <v>3.5000000000000005E-4</v>
      </c>
      <c r="Z122">
        <f>VLOOKUP($C122,DataDijkvakken[#All],3,FALSE)</f>
        <v>18</v>
      </c>
      <c r="AA122" s="8"/>
    </row>
    <row r="123" spans="1:27" x14ac:dyDescent="0.3">
      <c r="A123">
        <f>IFERROR(IF(Ondergrondscenarios[[#This Row],[Scenarionaam '[-']]]="","",A122+1),1)</f>
        <v>122</v>
      </c>
      <c r="B123">
        <f>A127/6</f>
        <v>21</v>
      </c>
      <c r="C123" t="str">
        <f>VLOOKUP(Ondergrondscenarios[[#This Row],[VakID '[-']]],DataDijkvakken!A:I,2,FALSE)</f>
        <v>07c</v>
      </c>
      <c r="D123" s="8" t="str">
        <f>GenererenScenarios!$B$4</f>
        <v>P_S2_HL_F</v>
      </c>
      <c r="E123" s="8" t="str">
        <f>GenererenScenarios!$C$4</f>
        <v>Holoceen</v>
      </c>
      <c r="F123" s="26">
        <v>0.45</v>
      </c>
      <c r="G123" s="29">
        <f>VLOOKUP($C123,DataDijkvakken!$B:$G,2,FALSE)</f>
        <v>2.8820100000000002</v>
      </c>
      <c r="H123" s="7"/>
      <c r="I123" s="7"/>
      <c r="J123" s="29">
        <v>0</v>
      </c>
      <c r="K123" s="29">
        <f t="shared" si="12"/>
        <v>2.8820100000000002</v>
      </c>
      <c r="L123" s="7">
        <v>6.5</v>
      </c>
      <c r="M123" s="29">
        <f>IF(Ondergrondscenarios[[#This Row],[Scenariotype '[-']]]="Tussenzandlaag",0,VLOOKUP($C123,DataDijkvakken[#All],4,FALSE))</f>
        <v>43.5</v>
      </c>
      <c r="N123" s="29">
        <f t="shared" si="13"/>
        <v>50</v>
      </c>
      <c r="O123" s="29">
        <f>VLOOKUP($C123,DataDijkvakken!$B:$G,5,FALSE)</f>
        <v>15</v>
      </c>
      <c r="P123" s="29">
        <f>VLOOKUP($C123,DataDijkvakken!$B:$G,6,FALSE)</f>
        <v>42.52873563218391</v>
      </c>
      <c r="Q123" s="29">
        <f t="shared" si="14"/>
        <v>38.950000000000003</v>
      </c>
      <c r="R123" s="7">
        <v>1947.5000000000002</v>
      </c>
      <c r="S123" s="27"/>
      <c r="T123" s="32">
        <f t="shared" si="15"/>
        <v>0</v>
      </c>
      <c r="U123" s="27"/>
      <c r="V123">
        <f t="shared" si="16"/>
        <v>153.20100000000002</v>
      </c>
      <c r="W123" s="31">
        <f t="shared" si="17"/>
        <v>546.22243408706686</v>
      </c>
      <c r="X123" s="33"/>
      <c r="Y123">
        <f>IF(Ondergrondscenarios[[#This Row],[Scenariotype '[-']]]="-","",IF(Ondergrondscenarios[[#This Row],[Scenariotype '[-']]]="Pleistoceen",VLOOKUP(Ondergrondscenarios[[#This Row],[Vaknaam '[-']]],DataDijkvakken[#All],8,FALSE),VLOOKUP(Ondergrondscenarios[[#This Row],[Vaknaam '[-']]],DataDijkvakken[#All],7,FALSE)))</f>
        <v>2.5999999999999998E-4</v>
      </c>
      <c r="Z123">
        <f>VLOOKUP($C123,DataDijkvakken[#All],3,FALSE)</f>
        <v>18</v>
      </c>
      <c r="AA123" s="8"/>
    </row>
    <row r="124" spans="1:27" x14ac:dyDescent="0.3">
      <c r="A124">
        <f>IFERROR(IF(Ondergrondscenarios[[#This Row],[Scenarionaam '[-']]]="","",A123+1),1)</f>
        <v>123</v>
      </c>
      <c r="B124">
        <f>A127/6</f>
        <v>21</v>
      </c>
      <c r="C124" t="str">
        <f>VLOOKUP(Ondergrondscenarios[[#This Row],[VakID '[-']]],DataDijkvakken!A:I,2,FALSE)</f>
        <v>07c</v>
      </c>
      <c r="D124" s="8" t="str">
        <f>GenererenScenarios!$B$5</f>
        <v>P_S3_HL_TZ</v>
      </c>
      <c r="E124" s="8" t="str">
        <f>GenererenScenarios!$C$5</f>
        <v>Tussenzandlaag</v>
      </c>
      <c r="F124" s="26">
        <v>0.1</v>
      </c>
      <c r="G124" s="29">
        <f>VLOOKUP($C124,DataDijkvakken!$B:$G,2,FALSE)</f>
        <v>2.8820100000000002</v>
      </c>
      <c r="H124" s="7"/>
      <c r="I124" s="7"/>
      <c r="J124" s="29">
        <v>0</v>
      </c>
      <c r="K124" s="29">
        <f t="shared" si="12"/>
        <v>2.8820100000000002</v>
      </c>
      <c r="L124" s="7">
        <v>5</v>
      </c>
      <c r="M124" s="29">
        <f>IF(Ondergrondscenarios[[#This Row],[Scenariotype '[-']]]="Tussenzandlaag",0,VLOOKUP($C124,DataDijkvakken[#All],4,FALSE))</f>
        <v>0</v>
      </c>
      <c r="N124" s="29">
        <f t="shared" si="13"/>
        <v>5</v>
      </c>
      <c r="O124" s="29">
        <f>VLOOKUP($C124,DataDijkvakken!$B:$G,5,FALSE)</f>
        <v>15</v>
      </c>
      <c r="P124" s="29">
        <f>VLOOKUP($C124,DataDijkvakken!$B:$G,6,FALSE)</f>
        <v>42.52873563218391</v>
      </c>
      <c r="Q124" s="29">
        <f t="shared" si="14"/>
        <v>15</v>
      </c>
      <c r="R124" s="7">
        <v>75</v>
      </c>
      <c r="S124" s="27"/>
      <c r="T124" s="32">
        <f t="shared" si="15"/>
        <v>0</v>
      </c>
      <c r="U124" s="27"/>
      <c r="V124">
        <f t="shared" si="16"/>
        <v>153.20100000000002</v>
      </c>
      <c r="W124" s="31">
        <f t="shared" si="17"/>
        <v>107.19176740776318</v>
      </c>
      <c r="X124" s="33"/>
      <c r="Y124">
        <f>IF(Ondergrondscenarios[[#This Row],[Scenariotype '[-']]]="-","",IF(Ondergrondscenarios[[#This Row],[Scenariotype '[-']]]="Pleistoceen",VLOOKUP(Ondergrondscenarios[[#This Row],[Vaknaam '[-']]],DataDijkvakken[#All],8,FALSE),VLOOKUP(Ondergrondscenarios[[#This Row],[Vaknaam '[-']]],DataDijkvakken[#All],7,FALSE)))</f>
        <v>2.5999999999999998E-4</v>
      </c>
      <c r="Z124">
        <f>VLOOKUP($C124,DataDijkvakken[#All],3,FALSE)</f>
        <v>18</v>
      </c>
      <c r="AA124" s="8"/>
    </row>
    <row r="125" spans="1:27" x14ac:dyDescent="0.3">
      <c r="A125">
        <f>IFERROR(IF(Ondergrondscenarios[[#This Row],[Scenarionaam '[-']]]="","",A124+1),1)</f>
        <v>124</v>
      </c>
      <c r="B125">
        <f>A127/6</f>
        <v>21</v>
      </c>
      <c r="C125" t="str">
        <f>VLOOKUP(Ondergrondscenarios[[#This Row],[VakID '[-']]],DataDijkvakken!A:I,2,FALSE)</f>
        <v>07c</v>
      </c>
      <c r="D125" s="8" t="str">
        <f>GenererenScenarios!$B$6</f>
        <v>P_S4</v>
      </c>
      <c r="E125" s="8" t="str">
        <f>GenererenScenarios!$C$6</f>
        <v>-</v>
      </c>
      <c r="F125" s="26">
        <v>0</v>
      </c>
      <c r="G125" s="29">
        <f>VLOOKUP($C125,DataDijkvakken!$B:$G,2,FALSE)</f>
        <v>2.8820100000000002</v>
      </c>
      <c r="H125" s="7"/>
      <c r="I125" s="7"/>
      <c r="J125" s="29"/>
      <c r="K125" s="29">
        <f t="shared" si="12"/>
        <v>2.8820100000000002</v>
      </c>
      <c r="L125" s="7"/>
      <c r="M125" s="29">
        <f>IF(Ondergrondscenarios[[#This Row],[Scenariotype '[-']]]="Tussenzandlaag",0,VLOOKUP($C125,DataDijkvakken[#All],4,FALSE))</f>
        <v>43.5</v>
      </c>
      <c r="N125" s="29">
        <f t="shared" si="13"/>
        <v>43.5</v>
      </c>
      <c r="O125" s="29">
        <f>VLOOKUP($C125,DataDijkvakken!$B:$G,5,FALSE)</f>
        <v>15</v>
      </c>
      <c r="P125" s="29">
        <f>VLOOKUP($C125,DataDijkvakken!$B:$G,6,FALSE)</f>
        <v>42.52873563218391</v>
      </c>
      <c r="Q125" s="29">
        <f t="shared" si="14"/>
        <v>42.52873563218391</v>
      </c>
      <c r="R125" s="7">
        <v>1850</v>
      </c>
      <c r="S125" s="27"/>
      <c r="T125" s="32">
        <f t="shared" si="15"/>
        <v>0</v>
      </c>
      <c r="U125" s="27"/>
      <c r="V125">
        <f t="shared" si="16"/>
        <v>153.20100000000002</v>
      </c>
      <c r="W125" s="31">
        <f t="shared" si="17"/>
        <v>532.37378785962028</v>
      </c>
      <c r="X125" s="33"/>
      <c r="Y125" t="str">
        <f>IF(Ondergrondscenarios[[#This Row],[Scenariotype '[-']]]="-","",IF(Ondergrondscenarios[[#This Row],[Scenariotype '[-']]]="Pleistoceen",VLOOKUP(Ondergrondscenarios[[#This Row],[Vaknaam '[-']]],DataDijkvakken[#All],8,FALSE),VLOOKUP(Ondergrondscenarios[[#This Row],[Vaknaam '[-']]],DataDijkvakken[#All],7,FALSE)))</f>
        <v/>
      </c>
      <c r="Z125">
        <f>VLOOKUP($C125,DataDijkvakken[#All],3,FALSE)</f>
        <v>18</v>
      </c>
      <c r="AA125" s="8"/>
    </row>
    <row r="126" spans="1:27" x14ac:dyDescent="0.3">
      <c r="A126">
        <f>IFERROR(IF(Ondergrondscenarios[[#This Row],[Scenarionaam '[-']]]="","",A125+1),1)</f>
        <v>125</v>
      </c>
      <c r="B126">
        <f>A127/6</f>
        <v>21</v>
      </c>
      <c r="C126" t="str">
        <f>VLOOKUP(Ondergrondscenarios[[#This Row],[VakID '[-']]],DataDijkvakken!A:I,2,FALSE)</f>
        <v>07c</v>
      </c>
      <c r="D126" s="8" t="str">
        <f>GenererenScenarios!$B$7</f>
        <v>P_S5</v>
      </c>
      <c r="E126" s="8" t="str">
        <f>GenererenScenarios!$C$7</f>
        <v>-</v>
      </c>
      <c r="F126" s="26">
        <v>0</v>
      </c>
      <c r="G126" s="29">
        <f>VLOOKUP($C126,DataDijkvakken!$B:$G,2,FALSE)</f>
        <v>2.8820100000000002</v>
      </c>
      <c r="H126" s="7"/>
      <c r="I126" s="7"/>
      <c r="J126" s="29"/>
      <c r="K126" s="29">
        <f t="shared" si="12"/>
        <v>2.8820100000000002</v>
      </c>
      <c r="L126" s="7"/>
      <c r="M126" s="29">
        <f>IF(Ondergrondscenarios[[#This Row],[Scenariotype '[-']]]="Tussenzandlaag",0,VLOOKUP($C126,DataDijkvakken[#All],4,FALSE))</f>
        <v>43.5</v>
      </c>
      <c r="N126" s="29">
        <f t="shared" si="13"/>
        <v>43.5</v>
      </c>
      <c r="O126" s="29">
        <f>VLOOKUP($C126,DataDijkvakken!$B:$G,5,FALSE)</f>
        <v>15</v>
      </c>
      <c r="P126" s="29">
        <f>VLOOKUP($C126,DataDijkvakken!$B:$G,6,FALSE)</f>
        <v>42.52873563218391</v>
      </c>
      <c r="Q126" s="29">
        <f t="shared" si="14"/>
        <v>42.52873563218391</v>
      </c>
      <c r="R126" s="7">
        <v>1850</v>
      </c>
      <c r="S126" s="27"/>
      <c r="T126" s="32">
        <f t="shared" si="15"/>
        <v>0</v>
      </c>
      <c r="U126" s="27"/>
      <c r="V126">
        <f t="shared" si="16"/>
        <v>153.20100000000002</v>
      </c>
      <c r="W126" s="31">
        <f t="shared" si="17"/>
        <v>532.37378785962028</v>
      </c>
      <c r="X126" s="33"/>
      <c r="Y126" t="str">
        <f>IF(Ondergrondscenarios[[#This Row],[Scenariotype '[-']]]="-","",IF(Ondergrondscenarios[[#This Row],[Scenariotype '[-']]]="Pleistoceen",VLOOKUP(Ondergrondscenarios[[#This Row],[Vaknaam '[-']]],DataDijkvakken[#All],8,FALSE),VLOOKUP(Ondergrondscenarios[[#This Row],[Vaknaam '[-']]],DataDijkvakken[#All],7,FALSE)))</f>
        <v/>
      </c>
      <c r="Z126">
        <f>VLOOKUP($C126,DataDijkvakken[#All],3,FALSE)</f>
        <v>18</v>
      </c>
      <c r="AA126" s="8"/>
    </row>
    <row r="127" spans="1:27" x14ac:dyDescent="0.3">
      <c r="A127">
        <f>IFERROR(IF(Ondergrondscenarios[[#This Row],[Scenarionaam '[-']]]="","",A126+1),1)</f>
        <v>126</v>
      </c>
      <c r="B127">
        <f>A127/6</f>
        <v>21</v>
      </c>
      <c r="C127" t="str">
        <f>VLOOKUP(Ondergrondscenarios[[#This Row],[VakID '[-']]],DataDijkvakken!A:I,2,FALSE)</f>
        <v>07c</v>
      </c>
      <c r="D127" s="8" t="str">
        <f>GenererenScenarios!$B$8</f>
        <v>P_S6</v>
      </c>
      <c r="E127" s="8" t="str">
        <f>GenererenScenarios!$C$8</f>
        <v>-</v>
      </c>
      <c r="F127" s="26">
        <v>0</v>
      </c>
      <c r="G127" s="29">
        <f>VLOOKUP($C127,DataDijkvakken!$B:$G,2,FALSE)</f>
        <v>2.8820100000000002</v>
      </c>
      <c r="H127" s="7"/>
      <c r="I127" s="7"/>
      <c r="J127" s="29"/>
      <c r="K127" s="29">
        <f t="shared" si="12"/>
        <v>2.8820100000000002</v>
      </c>
      <c r="L127" s="7"/>
      <c r="M127" s="29">
        <f>IF(Ondergrondscenarios[[#This Row],[Scenariotype '[-']]]="Tussenzandlaag",0,VLOOKUP($C127,DataDijkvakken[#All],4,FALSE))</f>
        <v>43.5</v>
      </c>
      <c r="N127" s="29">
        <f t="shared" si="13"/>
        <v>43.5</v>
      </c>
      <c r="O127" s="29">
        <f>VLOOKUP($C127,DataDijkvakken!$B:$G,5,FALSE)</f>
        <v>15</v>
      </c>
      <c r="P127" s="29">
        <f>VLOOKUP($C127,DataDijkvakken!$B:$G,6,FALSE)</f>
        <v>42.52873563218391</v>
      </c>
      <c r="Q127" s="29">
        <f t="shared" si="14"/>
        <v>42.52873563218391</v>
      </c>
      <c r="R127" s="7">
        <v>1850</v>
      </c>
      <c r="S127" s="27"/>
      <c r="T127" s="32">
        <f t="shared" si="15"/>
        <v>0</v>
      </c>
      <c r="U127" s="27"/>
      <c r="V127">
        <f t="shared" si="16"/>
        <v>153.20100000000002</v>
      </c>
      <c r="W127" s="31">
        <f t="shared" si="17"/>
        <v>532.37378785962028</v>
      </c>
      <c r="X127" s="33"/>
      <c r="Y127" t="str">
        <f>IF(Ondergrondscenarios[[#This Row],[Scenariotype '[-']]]="-","",IF(Ondergrondscenarios[[#This Row],[Scenariotype '[-']]]="Pleistoceen",VLOOKUP(Ondergrondscenarios[[#This Row],[Vaknaam '[-']]],DataDijkvakken[#All],8,FALSE),VLOOKUP(Ondergrondscenarios[[#This Row],[Vaknaam '[-']]],DataDijkvakken[#All],7,FALSE)))</f>
        <v/>
      </c>
      <c r="Z127">
        <f>VLOOKUP($C127,DataDijkvakken[#All],3,FALSE)</f>
        <v>18</v>
      </c>
      <c r="AA127" s="8"/>
    </row>
    <row r="128" spans="1:27" x14ac:dyDescent="0.3">
      <c r="A128">
        <f>IFERROR(IF(Ondergrondscenarios[[#This Row],[Scenarionaam '[-']]]="","",A127+1),1)</f>
        <v>127</v>
      </c>
      <c r="B128">
        <f>A133/6</f>
        <v>22</v>
      </c>
      <c r="C128" t="str">
        <f>VLOOKUP(Ondergrondscenarios[[#This Row],[VakID '[-']]],DataDijkvakken!A:I,2,FALSE)</f>
        <v>07d</v>
      </c>
      <c r="D128" s="8" t="str">
        <f>GenererenScenarios!$B$3</f>
        <v>P_S1_PL</v>
      </c>
      <c r="E128" s="8" t="str">
        <f>GenererenScenarios!$C$3</f>
        <v>Pleistoceen</v>
      </c>
      <c r="F128" s="26">
        <v>0</v>
      </c>
      <c r="G128" s="29">
        <f>VLOOKUP($C128,DataDijkvakken!$B:$G,2,FALSE)</f>
        <v>2.2418184999999999</v>
      </c>
      <c r="H128" s="7"/>
      <c r="I128" s="7"/>
      <c r="J128" s="29">
        <v>-6.5</v>
      </c>
      <c r="K128" s="29">
        <f t="shared" si="12"/>
        <v>8.7418185000000008</v>
      </c>
      <c r="L128" s="7"/>
      <c r="M128" s="29">
        <f>IF(Ondergrondscenarios[[#This Row],[Scenariotype '[-']]]="Tussenzandlaag",0,VLOOKUP($C128,DataDijkvakken[#All],4,FALSE))</f>
        <v>43.5</v>
      </c>
      <c r="N128" s="29">
        <f t="shared" si="13"/>
        <v>43.5</v>
      </c>
      <c r="O128" s="29">
        <f>VLOOKUP($C128,DataDijkvakken!$B:$G,5,FALSE)</f>
        <v>15</v>
      </c>
      <c r="P128" s="29">
        <f>VLOOKUP($C128,DataDijkvakken!$B:$G,6,FALSE)</f>
        <v>42.52873563218391</v>
      </c>
      <c r="Q128" s="29">
        <f t="shared" si="14"/>
        <v>42.52873563218391</v>
      </c>
      <c r="R128" s="7">
        <v>1850</v>
      </c>
      <c r="S128" s="27"/>
      <c r="T128" s="32">
        <f t="shared" si="15"/>
        <v>0</v>
      </c>
      <c r="U128" s="27"/>
      <c r="V128">
        <f t="shared" si="16"/>
        <v>739.18185000000005</v>
      </c>
      <c r="W128" s="31">
        <f t="shared" si="17"/>
        <v>1169.395751018448</v>
      </c>
      <c r="X128" s="33"/>
      <c r="Y128">
        <f>IF(Ondergrondscenarios[[#This Row],[Scenariotype '[-']]]="-","",IF(Ondergrondscenarios[[#This Row],[Scenariotype '[-']]]="Pleistoceen",VLOOKUP(Ondergrondscenarios[[#This Row],[Vaknaam '[-']]],DataDijkvakken[#All],8,FALSE),VLOOKUP(Ondergrondscenarios[[#This Row],[Vaknaam '[-']]],DataDijkvakken[#All],7,FALSE)))</f>
        <v>3.5000000000000005E-4</v>
      </c>
      <c r="Z128">
        <f>VLOOKUP($C128,DataDijkvakken[#All],3,FALSE)</f>
        <v>18</v>
      </c>
      <c r="AA128" s="8"/>
    </row>
    <row r="129" spans="1:27" x14ac:dyDescent="0.3">
      <c r="A129">
        <f>IFERROR(IF(Ondergrondscenarios[[#This Row],[Scenarionaam '[-']]]="","",A128+1),1)</f>
        <v>128</v>
      </c>
      <c r="B129">
        <f>A133/6</f>
        <v>22</v>
      </c>
      <c r="C129" t="str">
        <f>VLOOKUP(Ondergrondscenarios[[#This Row],[VakID '[-']]],DataDijkvakken!A:I,2,FALSE)</f>
        <v>07d</v>
      </c>
      <c r="D129" s="8" t="str">
        <f>GenererenScenarios!$B$4</f>
        <v>P_S2_HL_F</v>
      </c>
      <c r="E129" s="8" t="str">
        <f>GenererenScenarios!$C$4</f>
        <v>Holoceen</v>
      </c>
      <c r="F129" s="26">
        <v>1</v>
      </c>
      <c r="G129" s="29">
        <f>VLOOKUP($C129,DataDijkvakken!$B:$G,2,FALSE)</f>
        <v>2.2418184999999999</v>
      </c>
      <c r="H129" s="7"/>
      <c r="I129" s="7"/>
      <c r="J129" s="29">
        <v>0</v>
      </c>
      <c r="K129" s="29">
        <f t="shared" si="12"/>
        <v>2.2418184999999999</v>
      </c>
      <c r="L129" s="7">
        <v>8.5</v>
      </c>
      <c r="M129" s="29">
        <f>IF(Ondergrondscenarios[[#This Row],[Scenariotype '[-']]]="Tussenzandlaag",0,VLOOKUP($C129,DataDijkvakken[#All],4,FALSE))</f>
        <v>43.5</v>
      </c>
      <c r="N129" s="29">
        <f t="shared" si="13"/>
        <v>52</v>
      </c>
      <c r="O129" s="29">
        <f>VLOOKUP($C129,DataDijkvakken!$B:$G,5,FALSE)</f>
        <v>15</v>
      </c>
      <c r="P129" s="29">
        <f>VLOOKUP($C129,DataDijkvakken!$B:$G,6,FALSE)</f>
        <v>42.52873563218391</v>
      </c>
      <c r="Q129" s="29">
        <f t="shared" si="14"/>
        <v>38.028846153846153</v>
      </c>
      <c r="R129" s="7">
        <v>1977.5</v>
      </c>
      <c r="S129" s="27"/>
      <c r="T129" s="32">
        <f t="shared" si="15"/>
        <v>0</v>
      </c>
      <c r="U129" s="27"/>
      <c r="V129">
        <f t="shared" si="16"/>
        <v>89.181849999999997</v>
      </c>
      <c r="W129" s="31">
        <f t="shared" si="17"/>
        <v>419.94893543739335</v>
      </c>
      <c r="X129" s="33"/>
      <c r="Y129">
        <f>IF(Ondergrondscenarios[[#This Row],[Scenariotype '[-']]]="-","",IF(Ondergrondscenarios[[#This Row],[Scenariotype '[-']]]="Pleistoceen",VLOOKUP(Ondergrondscenarios[[#This Row],[Vaknaam '[-']]],DataDijkvakken[#All],8,FALSE),VLOOKUP(Ondergrondscenarios[[#This Row],[Vaknaam '[-']]],DataDijkvakken[#All],7,FALSE)))</f>
        <v>2.5999999999999998E-4</v>
      </c>
      <c r="Z129">
        <f>VLOOKUP($C129,DataDijkvakken[#All],3,FALSE)</f>
        <v>18</v>
      </c>
      <c r="AA129" s="8"/>
    </row>
    <row r="130" spans="1:27" x14ac:dyDescent="0.3">
      <c r="A130">
        <f>IFERROR(IF(Ondergrondscenarios[[#This Row],[Scenarionaam '[-']]]="","",A129+1),1)</f>
        <v>129</v>
      </c>
      <c r="B130">
        <f>A133/6</f>
        <v>22</v>
      </c>
      <c r="C130" t="str">
        <f>VLOOKUP(Ondergrondscenarios[[#This Row],[VakID '[-']]],DataDijkvakken!A:I,2,FALSE)</f>
        <v>07d</v>
      </c>
      <c r="D130" s="8" t="str">
        <f>GenererenScenarios!$B$5</f>
        <v>P_S3_HL_TZ</v>
      </c>
      <c r="E130" s="8" t="str">
        <f>GenererenScenarios!$C$5</f>
        <v>Tussenzandlaag</v>
      </c>
      <c r="F130" s="26">
        <v>0</v>
      </c>
      <c r="G130" s="29">
        <f>VLOOKUP($C130,DataDijkvakken!$B:$G,2,FALSE)</f>
        <v>2.2418184999999999</v>
      </c>
      <c r="H130" s="7"/>
      <c r="I130" s="7"/>
      <c r="J130" s="29"/>
      <c r="K130" s="29">
        <f t="shared" si="12"/>
        <v>2.2418184999999999</v>
      </c>
      <c r="L130" s="7"/>
      <c r="M130" s="29">
        <f>IF(Ondergrondscenarios[[#This Row],[Scenariotype '[-']]]="Tussenzandlaag",0,VLOOKUP($C130,DataDijkvakken[#All],4,FALSE))</f>
        <v>0</v>
      </c>
      <c r="N130" s="29">
        <f t="shared" si="13"/>
        <v>0.1</v>
      </c>
      <c r="O130" s="29">
        <f>VLOOKUP($C130,DataDijkvakken!$B:$G,5,FALSE)</f>
        <v>15</v>
      </c>
      <c r="P130" s="29">
        <f>VLOOKUP($C130,DataDijkvakken!$B:$G,6,FALSE)</f>
        <v>42.52873563218391</v>
      </c>
      <c r="Q130" s="29">
        <f t="shared" si="14"/>
        <v>0.1</v>
      </c>
      <c r="R130" s="7">
        <v>1.0000000000000002E-2</v>
      </c>
      <c r="S130" s="27"/>
      <c r="T130" s="32">
        <f t="shared" si="15"/>
        <v>0</v>
      </c>
      <c r="U130" s="27"/>
      <c r="V130">
        <f t="shared" si="16"/>
        <v>89.181849999999997</v>
      </c>
      <c r="W130" s="31">
        <f t="shared" si="17"/>
        <v>0.9443614244557007</v>
      </c>
      <c r="X130" s="33"/>
      <c r="Y130">
        <f>IF(Ondergrondscenarios[[#This Row],[Scenariotype '[-']]]="-","",IF(Ondergrondscenarios[[#This Row],[Scenariotype '[-']]]="Pleistoceen",VLOOKUP(Ondergrondscenarios[[#This Row],[Vaknaam '[-']]],DataDijkvakken[#All],8,FALSE),VLOOKUP(Ondergrondscenarios[[#This Row],[Vaknaam '[-']]],DataDijkvakken[#All],7,FALSE)))</f>
        <v>2.5999999999999998E-4</v>
      </c>
      <c r="Z130">
        <f>VLOOKUP($C130,DataDijkvakken[#All],3,FALSE)</f>
        <v>18</v>
      </c>
      <c r="AA130" s="8"/>
    </row>
    <row r="131" spans="1:27" x14ac:dyDescent="0.3">
      <c r="A131">
        <f>IFERROR(IF(Ondergrondscenarios[[#This Row],[Scenarionaam '[-']]]="","",A130+1),1)</f>
        <v>130</v>
      </c>
      <c r="B131">
        <f>A133/6</f>
        <v>22</v>
      </c>
      <c r="C131" t="str">
        <f>VLOOKUP(Ondergrondscenarios[[#This Row],[VakID '[-']]],DataDijkvakken!A:I,2,FALSE)</f>
        <v>07d</v>
      </c>
      <c r="D131" s="8" t="str">
        <f>GenererenScenarios!$B$6</f>
        <v>P_S4</v>
      </c>
      <c r="E131" s="8" t="str">
        <f>GenererenScenarios!$C$6</f>
        <v>-</v>
      </c>
      <c r="F131" s="26">
        <v>0</v>
      </c>
      <c r="G131" s="29">
        <f>VLOOKUP($C131,DataDijkvakken!$B:$G,2,FALSE)</f>
        <v>2.2418184999999999</v>
      </c>
      <c r="H131" s="7"/>
      <c r="I131" s="7"/>
      <c r="J131" s="29"/>
      <c r="K131" s="29">
        <f t="shared" si="12"/>
        <v>2.2418184999999999</v>
      </c>
      <c r="L131" s="7"/>
      <c r="M131" s="29">
        <f>IF(Ondergrondscenarios[[#This Row],[Scenariotype '[-']]]="Tussenzandlaag",0,VLOOKUP($C131,DataDijkvakken[#All],4,FALSE))</f>
        <v>43.5</v>
      </c>
      <c r="N131" s="29">
        <f t="shared" si="13"/>
        <v>43.5</v>
      </c>
      <c r="O131" s="29">
        <f>VLOOKUP($C131,DataDijkvakken!$B:$G,5,FALSE)</f>
        <v>15</v>
      </c>
      <c r="P131" s="29">
        <f>VLOOKUP($C131,DataDijkvakken!$B:$G,6,FALSE)</f>
        <v>42.52873563218391</v>
      </c>
      <c r="Q131" s="29">
        <f t="shared" si="14"/>
        <v>42.52873563218391</v>
      </c>
      <c r="R131" s="7">
        <v>1850</v>
      </c>
      <c r="S131" s="27"/>
      <c r="T131" s="32">
        <f t="shared" si="15"/>
        <v>0</v>
      </c>
      <c r="U131" s="27"/>
      <c r="V131">
        <f t="shared" si="16"/>
        <v>89.181849999999997</v>
      </c>
      <c r="W131" s="31">
        <f t="shared" si="17"/>
        <v>406.18520714078198</v>
      </c>
      <c r="X131" s="33"/>
      <c r="Y131" t="str">
        <f>IF(Ondergrondscenarios[[#This Row],[Scenariotype '[-']]]="-","",IF(Ondergrondscenarios[[#This Row],[Scenariotype '[-']]]="Pleistoceen",VLOOKUP(Ondergrondscenarios[[#This Row],[Vaknaam '[-']]],DataDijkvakken[#All],8,FALSE),VLOOKUP(Ondergrondscenarios[[#This Row],[Vaknaam '[-']]],DataDijkvakken[#All],7,FALSE)))</f>
        <v/>
      </c>
      <c r="Z131">
        <f>VLOOKUP($C131,DataDijkvakken[#All],3,FALSE)</f>
        <v>18</v>
      </c>
      <c r="AA131" s="8"/>
    </row>
    <row r="132" spans="1:27" x14ac:dyDescent="0.3">
      <c r="A132">
        <f>IFERROR(IF(Ondergrondscenarios[[#This Row],[Scenarionaam '[-']]]="","",A131+1),1)</f>
        <v>131</v>
      </c>
      <c r="B132">
        <f>A133/6</f>
        <v>22</v>
      </c>
      <c r="C132" t="str">
        <f>VLOOKUP(Ondergrondscenarios[[#This Row],[VakID '[-']]],DataDijkvakken!A:I,2,FALSE)</f>
        <v>07d</v>
      </c>
      <c r="D132" s="8" t="str">
        <f>GenererenScenarios!$B$7</f>
        <v>P_S5</v>
      </c>
      <c r="E132" s="8" t="str">
        <f>GenererenScenarios!$C$7</f>
        <v>-</v>
      </c>
      <c r="F132" s="26">
        <v>0</v>
      </c>
      <c r="G132" s="29">
        <f>VLOOKUP($C132,DataDijkvakken!$B:$G,2,FALSE)</f>
        <v>2.2418184999999999</v>
      </c>
      <c r="H132" s="7"/>
      <c r="I132" s="7"/>
      <c r="J132" s="29"/>
      <c r="K132" s="29">
        <f t="shared" si="12"/>
        <v>2.2418184999999999</v>
      </c>
      <c r="L132" s="7"/>
      <c r="M132" s="29">
        <f>IF(Ondergrondscenarios[[#This Row],[Scenariotype '[-']]]="Tussenzandlaag",0,VLOOKUP($C132,DataDijkvakken[#All],4,FALSE))</f>
        <v>43.5</v>
      </c>
      <c r="N132" s="29">
        <f t="shared" si="13"/>
        <v>43.5</v>
      </c>
      <c r="O132" s="29">
        <f>VLOOKUP($C132,DataDijkvakken!$B:$G,5,FALSE)</f>
        <v>15</v>
      </c>
      <c r="P132" s="29">
        <f>VLOOKUP($C132,DataDijkvakken!$B:$G,6,FALSE)</f>
        <v>42.52873563218391</v>
      </c>
      <c r="Q132" s="29">
        <f t="shared" si="14"/>
        <v>42.52873563218391</v>
      </c>
      <c r="R132" s="7">
        <v>1850</v>
      </c>
      <c r="S132" s="27"/>
      <c r="T132" s="32">
        <f t="shared" si="15"/>
        <v>0</v>
      </c>
      <c r="U132" s="27"/>
      <c r="V132">
        <f t="shared" si="16"/>
        <v>89.181849999999997</v>
      </c>
      <c r="W132" s="31">
        <f t="shared" si="17"/>
        <v>406.18520714078198</v>
      </c>
      <c r="X132" s="33"/>
      <c r="Y132" t="str">
        <f>IF(Ondergrondscenarios[[#This Row],[Scenariotype '[-']]]="-","",IF(Ondergrondscenarios[[#This Row],[Scenariotype '[-']]]="Pleistoceen",VLOOKUP(Ondergrondscenarios[[#This Row],[Vaknaam '[-']]],DataDijkvakken[#All],8,FALSE),VLOOKUP(Ondergrondscenarios[[#This Row],[Vaknaam '[-']]],DataDijkvakken[#All],7,FALSE)))</f>
        <v/>
      </c>
      <c r="Z132">
        <f>VLOOKUP($C132,DataDijkvakken[#All],3,FALSE)</f>
        <v>18</v>
      </c>
      <c r="AA132" s="8"/>
    </row>
    <row r="133" spans="1:27" x14ac:dyDescent="0.3">
      <c r="A133">
        <f>IFERROR(IF(Ondergrondscenarios[[#This Row],[Scenarionaam '[-']]]="","",A132+1),1)</f>
        <v>132</v>
      </c>
      <c r="B133">
        <f>A133/6</f>
        <v>22</v>
      </c>
      <c r="C133" t="str">
        <f>VLOOKUP(Ondergrondscenarios[[#This Row],[VakID '[-']]],DataDijkvakken!A:I,2,FALSE)</f>
        <v>07d</v>
      </c>
      <c r="D133" s="8" t="str">
        <f>GenererenScenarios!$B$8</f>
        <v>P_S6</v>
      </c>
      <c r="E133" s="8" t="str">
        <f>GenererenScenarios!$C$8</f>
        <v>-</v>
      </c>
      <c r="F133" s="26">
        <v>0</v>
      </c>
      <c r="G133" s="29">
        <f>VLOOKUP($C133,DataDijkvakken!$B:$G,2,FALSE)</f>
        <v>2.2418184999999999</v>
      </c>
      <c r="H133" s="7"/>
      <c r="I133" s="7"/>
      <c r="J133" s="29"/>
      <c r="K133" s="29">
        <f t="shared" si="12"/>
        <v>2.2418184999999999</v>
      </c>
      <c r="L133" s="7"/>
      <c r="M133" s="29">
        <f>IF(Ondergrondscenarios[[#This Row],[Scenariotype '[-']]]="Tussenzandlaag",0,VLOOKUP($C133,DataDijkvakken[#All],4,FALSE))</f>
        <v>43.5</v>
      </c>
      <c r="N133" s="29">
        <f t="shared" si="13"/>
        <v>43.5</v>
      </c>
      <c r="O133" s="29">
        <f>VLOOKUP($C133,DataDijkvakken!$B:$G,5,FALSE)</f>
        <v>15</v>
      </c>
      <c r="P133" s="29">
        <f>VLOOKUP($C133,DataDijkvakken!$B:$G,6,FALSE)</f>
        <v>42.52873563218391</v>
      </c>
      <c r="Q133" s="29">
        <f t="shared" si="14"/>
        <v>42.52873563218391</v>
      </c>
      <c r="R133" s="7">
        <v>1850</v>
      </c>
      <c r="S133" s="27"/>
      <c r="T133" s="32">
        <f t="shared" si="15"/>
        <v>0</v>
      </c>
      <c r="U133" s="27"/>
      <c r="V133">
        <f t="shared" si="16"/>
        <v>89.181849999999997</v>
      </c>
      <c r="W133" s="31">
        <f t="shared" si="17"/>
        <v>406.18520714078198</v>
      </c>
      <c r="X133" s="33"/>
      <c r="Y133" t="str">
        <f>IF(Ondergrondscenarios[[#This Row],[Scenariotype '[-']]]="-","",IF(Ondergrondscenarios[[#This Row],[Scenariotype '[-']]]="Pleistoceen",VLOOKUP(Ondergrondscenarios[[#This Row],[Vaknaam '[-']]],DataDijkvakken[#All],8,FALSE),VLOOKUP(Ondergrondscenarios[[#This Row],[Vaknaam '[-']]],DataDijkvakken[#All],7,FALSE)))</f>
        <v/>
      </c>
      <c r="Z133">
        <f>VLOOKUP($C133,DataDijkvakken[#All],3,FALSE)</f>
        <v>18</v>
      </c>
      <c r="AA133" s="8"/>
    </row>
    <row r="134" spans="1:27" x14ac:dyDescent="0.3">
      <c r="A134">
        <f>IFERROR(IF(Ondergrondscenarios[[#This Row],[Scenarionaam '[-']]]="","",A133+1),1)</f>
        <v>133</v>
      </c>
      <c r="B134">
        <f>A139/6</f>
        <v>23</v>
      </c>
      <c r="C134" t="str">
        <f>VLOOKUP(Ondergrondscenarios[[#This Row],[VakID '[-']]],DataDijkvakken!A:I,2,FALSE)</f>
        <v>07e</v>
      </c>
      <c r="D134" s="8" t="str">
        <f>GenererenScenarios!$B$3</f>
        <v>P_S1_PL</v>
      </c>
      <c r="E134" s="8" t="str">
        <f>GenererenScenarios!$C$3</f>
        <v>Pleistoceen</v>
      </c>
      <c r="F134" s="26">
        <v>0.3</v>
      </c>
      <c r="G134" s="29">
        <f>VLOOKUP($C134,DataDijkvakken!$B:$G,2,FALSE)</f>
        <v>1.7012527500000001</v>
      </c>
      <c r="H134" s="7"/>
      <c r="I134" s="7"/>
      <c r="J134" s="29">
        <v>-6.5</v>
      </c>
      <c r="K134" s="29">
        <f t="shared" si="12"/>
        <v>8.2012527500000001</v>
      </c>
      <c r="L134" s="7">
        <v>0</v>
      </c>
      <c r="M134" s="29">
        <f>IF(Ondergrondscenarios[[#This Row],[Scenariotype '[-']]]="Tussenzandlaag",0,VLOOKUP($C134,DataDijkvakken[#All],4,FALSE))</f>
        <v>43.5</v>
      </c>
      <c r="N134" s="29">
        <f t="shared" si="13"/>
        <v>43.5</v>
      </c>
      <c r="O134" s="29">
        <f>VLOOKUP($C134,DataDijkvakken!$B:$G,5,FALSE)</f>
        <v>15</v>
      </c>
      <c r="P134" s="29">
        <f>VLOOKUP($C134,DataDijkvakken!$B:$G,6,FALSE)</f>
        <v>42.52873563218391</v>
      </c>
      <c r="Q134" s="29">
        <f t="shared" si="14"/>
        <v>42.52873563218391</v>
      </c>
      <c r="R134" s="7">
        <v>1850</v>
      </c>
      <c r="S134" s="27"/>
      <c r="T134" s="32">
        <f t="shared" si="15"/>
        <v>0</v>
      </c>
      <c r="U134" s="27"/>
      <c r="V134">
        <f t="shared" si="16"/>
        <v>685.12527499999999</v>
      </c>
      <c r="W134" s="31">
        <f t="shared" si="17"/>
        <v>1125.8249236670861</v>
      </c>
      <c r="X134" s="33"/>
      <c r="Y134">
        <f>IF(Ondergrondscenarios[[#This Row],[Scenariotype '[-']]]="-","",IF(Ondergrondscenarios[[#This Row],[Scenariotype '[-']]]="Pleistoceen",VLOOKUP(Ondergrondscenarios[[#This Row],[Vaknaam '[-']]],DataDijkvakken[#All],8,FALSE),VLOOKUP(Ondergrondscenarios[[#This Row],[Vaknaam '[-']]],DataDijkvakken[#All],7,FALSE)))</f>
        <v>3.5000000000000005E-4</v>
      </c>
      <c r="Z134">
        <f>VLOOKUP($C134,DataDijkvakken[#All],3,FALSE)</f>
        <v>18</v>
      </c>
      <c r="AA134" s="8"/>
    </row>
    <row r="135" spans="1:27" x14ac:dyDescent="0.3">
      <c r="A135">
        <f>IFERROR(IF(Ondergrondscenarios[[#This Row],[Scenarionaam '[-']]]="","",A134+1),1)</f>
        <v>134</v>
      </c>
      <c r="B135">
        <f>A139/6</f>
        <v>23</v>
      </c>
      <c r="C135" t="str">
        <f>VLOOKUP(Ondergrondscenarios[[#This Row],[VakID '[-']]],DataDijkvakken!A:I,2,FALSE)</f>
        <v>07e</v>
      </c>
      <c r="D135" s="8" t="str">
        <f>GenererenScenarios!$B$4</f>
        <v>P_S2_HL_F</v>
      </c>
      <c r="E135" s="8" t="str">
        <f>GenererenScenarios!$C$4</f>
        <v>Holoceen</v>
      </c>
      <c r="F135" s="26">
        <v>0.6</v>
      </c>
      <c r="G135" s="29">
        <f>VLOOKUP($C135,DataDijkvakken!$B:$G,2,FALSE)</f>
        <v>1.7012527500000001</v>
      </c>
      <c r="H135" s="7"/>
      <c r="I135" s="7"/>
      <c r="J135" s="29">
        <v>-1</v>
      </c>
      <c r="K135" s="29">
        <f t="shared" si="12"/>
        <v>2.7012527500000001</v>
      </c>
      <c r="L135" s="7">
        <v>5</v>
      </c>
      <c r="M135" s="29">
        <f>IF(Ondergrondscenarios[[#This Row],[Scenariotype '[-']]]="Tussenzandlaag",0,VLOOKUP($C135,DataDijkvakken[#All],4,FALSE))</f>
        <v>43.5</v>
      </c>
      <c r="N135" s="29">
        <f t="shared" si="13"/>
        <v>48.5</v>
      </c>
      <c r="O135" s="29">
        <f>VLOOKUP($C135,DataDijkvakken!$B:$G,5,FALSE)</f>
        <v>15</v>
      </c>
      <c r="P135" s="29">
        <f>VLOOKUP($C135,DataDijkvakken!$B:$G,6,FALSE)</f>
        <v>42.52873563218391</v>
      </c>
      <c r="Q135" s="29">
        <f t="shared" si="14"/>
        <v>39.690721649484537</v>
      </c>
      <c r="R135" s="7">
        <v>1925</v>
      </c>
      <c r="S135" s="27"/>
      <c r="T135" s="32">
        <f t="shared" si="15"/>
        <v>0</v>
      </c>
      <c r="U135" s="27"/>
      <c r="V135">
        <f t="shared" si="16"/>
        <v>135.12527499999999</v>
      </c>
      <c r="W135" s="31">
        <f t="shared" si="17"/>
        <v>510.01583737664458</v>
      </c>
      <c r="X135" s="33"/>
      <c r="Y135">
        <f>IF(Ondergrondscenarios[[#This Row],[Scenariotype '[-']]]="-","",IF(Ondergrondscenarios[[#This Row],[Scenariotype '[-']]]="Pleistoceen",VLOOKUP(Ondergrondscenarios[[#This Row],[Vaknaam '[-']]],DataDijkvakken[#All],8,FALSE),VLOOKUP(Ondergrondscenarios[[#This Row],[Vaknaam '[-']]],DataDijkvakken[#All],7,FALSE)))</f>
        <v>2.5999999999999998E-4</v>
      </c>
      <c r="Z135">
        <f>VLOOKUP($C135,DataDijkvakken[#All],3,FALSE)</f>
        <v>18</v>
      </c>
      <c r="AA135" s="8"/>
    </row>
    <row r="136" spans="1:27" x14ac:dyDescent="0.3">
      <c r="A136">
        <f>IFERROR(IF(Ondergrondscenarios[[#This Row],[Scenarionaam '[-']]]="","",A135+1),1)</f>
        <v>135</v>
      </c>
      <c r="B136">
        <f>A139/6</f>
        <v>23</v>
      </c>
      <c r="C136" t="str">
        <f>VLOOKUP(Ondergrondscenarios[[#This Row],[VakID '[-']]],DataDijkvakken!A:I,2,FALSE)</f>
        <v>07e</v>
      </c>
      <c r="D136" s="8" t="str">
        <f>GenererenScenarios!$B$5</f>
        <v>P_S3_HL_TZ</v>
      </c>
      <c r="E136" s="8" t="str">
        <f>GenererenScenarios!$C$5</f>
        <v>Tussenzandlaag</v>
      </c>
      <c r="F136" s="26">
        <v>0.1</v>
      </c>
      <c r="G136" s="29">
        <f>VLOOKUP($C136,DataDijkvakken!$B:$G,2,FALSE)</f>
        <v>1.7012527500000001</v>
      </c>
      <c r="H136" s="7"/>
      <c r="I136" s="7"/>
      <c r="J136" s="29">
        <v>1</v>
      </c>
      <c r="K136" s="29">
        <f t="shared" ref="K136:K199" si="18">IFERROR(MAX(G136-J136,0),"")</f>
        <v>0.70125275000000009</v>
      </c>
      <c r="L136" s="7">
        <v>5</v>
      </c>
      <c r="M136" s="29">
        <f>IF(Ondergrondscenarios[[#This Row],[Scenariotype '[-']]]="Tussenzandlaag",0,VLOOKUP($C136,DataDijkvakken[#All],4,FALSE))</f>
        <v>0</v>
      </c>
      <c r="N136" s="29">
        <f t="shared" ref="N136:N199" si="19">MAX(M136+L136,0.1)</f>
        <v>5</v>
      </c>
      <c r="O136" s="29">
        <f>VLOOKUP($C136,DataDijkvakken!$B:$G,5,FALSE)</f>
        <v>15</v>
      </c>
      <c r="P136" s="29">
        <f>VLOOKUP($C136,DataDijkvakken!$B:$G,6,FALSE)</f>
        <v>42.52873563218391</v>
      </c>
      <c r="Q136" s="29">
        <f t="shared" ref="Q136:Q199" si="20">MAX(((L136*O136)+(M136*P136))/N136,0.1)</f>
        <v>15</v>
      </c>
      <c r="R136" s="7">
        <v>75</v>
      </c>
      <c r="S136" s="27"/>
      <c r="T136" s="32">
        <f t="shared" ref="T136:T199" si="21">SQRT(R136*S136)</f>
        <v>0</v>
      </c>
      <c r="U136" s="27"/>
      <c r="V136">
        <f t="shared" ref="V136:V199" si="22">IFERROR(IF(K136&lt;grensDikte,K136/doorlatendheidDunneDeklaag,(grensDikte/doorlatendheidDunneDeklaag)+((K136-grensDikte)/doorlatendheidDikkeDeklaag)),"")</f>
        <v>7.0125275000000009</v>
      </c>
      <c r="W136" s="31">
        <f t="shared" ref="W136:W199" si="23">IFERROR(IF(U136="",SQRT(R136*V136),SQRT(R136*U136)),"")</f>
        <v>22.933372244395287</v>
      </c>
      <c r="X136" s="33"/>
      <c r="Y136">
        <f>IF(Ondergrondscenarios[[#This Row],[Scenariotype '[-']]]="-","",IF(Ondergrondscenarios[[#This Row],[Scenariotype '[-']]]="Pleistoceen",VLOOKUP(Ondergrondscenarios[[#This Row],[Vaknaam '[-']]],DataDijkvakken[#All],8,FALSE),VLOOKUP(Ondergrondscenarios[[#This Row],[Vaknaam '[-']]],DataDijkvakken[#All],7,FALSE)))</f>
        <v>2.5999999999999998E-4</v>
      </c>
      <c r="Z136">
        <f>VLOOKUP($C136,DataDijkvakken[#All],3,FALSE)</f>
        <v>18</v>
      </c>
      <c r="AA136" s="8"/>
    </row>
    <row r="137" spans="1:27" x14ac:dyDescent="0.3">
      <c r="A137">
        <f>IFERROR(IF(Ondergrondscenarios[[#This Row],[Scenarionaam '[-']]]="","",A136+1),1)</f>
        <v>136</v>
      </c>
      <c r="B137">
        <f>A139/6</f>
        <v>23</v>
      </c>
      <c r="C137" t="str">
        <f>VLOOKUP(Ondergrondscenarios[[#This Row],[VakID '[-']]],DataDijkvakken!A:I,2,FALSE)</f>
        <v>07e</v>
      </c>
      <c r="D137" s="8" t="str">
        <f>GenererenScenarios!$B$6</f>
        <v>P_S4</v>
      </c>
      <c r="E137" s="8" t="str">
        <f>GenererenScenarios!$C$6</f>
        <v>-</v>
      </c>
      <c r="F137" s="26">
        <v>0</v>
      </c>
      <c r="G137" s="29">
        <f>VLOOKUP($C137,DataDijkvakken!$B:$G,2,FALSE)</f>
        <v>1.7012527500000001</v>
      </c>
      <c r="H137" s="7"/>
      <c r="I137" s="7"/>
      <c r="J137" s="29"/>
      <c r="K137" s="29">
        <f t="shared" si="18"/>
        <v>1.7012527500000001</v>
      </c>
      <c r="L137" s="7"/>
      <c r="M137" s="29">
        <f>IF(Ondergrondscenarios[[#This Row],[Scenariotype '[-']]]="Tussenzandlaag",0,VLOOKUP($C137,DataDijkvakken[#All],4,FALSE))</f>
        <v>43.5</v>
      </c>
      <c r="N137" s="29">
        <f t="shared" si="19"/>
        <v>43.5</v>
      </c>
      <c r="O137" s="29">
        <f>VLOOKUP($C137,DataDijkvakken!$B:$G,5,FALSE)</f>
        <v>15</v>
      </c>
      <c r="P137" s="29">
        <f>VLOOKUP($C137,DataDijkvakken!$B:$G,6,FALSE)</f>
        <v>42.52873563218391</v>
      </c>
      <c r="Q137" s="29">
        <f t="shared" si="20"/>
        <v>42.52873563218391</v>
      </c>
      <c r="R137" s="7">
        <v>1850</v>
      </c>
      <c r="S137" s="27"/>
      <c r="T137" s="32">
        <f t="shared" si="21"/>
        <v>0</v>
      </c>
      <c r="U137" s="27"/>
      <c r="V137">
        <f t="shared" si="22"/>
        <v>35.125275000000009</v>
      </c>
      <c r="W137" s="31">
        <f t="shared" si="23"/>
        <v>254.91519913492803</v>
      </c>
      <c r="X137" s="33"/>
      <c r="Y137" t="str">
        <f>IF(Ondergrondscenarios[[#This Row],[Scenariotype '[-']]]="-","",IF(Ondergrondscenarios[[#This Row],[Scenariotype '[-']]]="Pleistoceen",VLOOKUP(Ondergrondscenarios[[#This Row],[Vaknaam '[-']]],DataDijkvakken[#All],8,FALSE),VLOOKUP(Ondergrondscenarios[[#This Row],[Vaknaam '[-']]],DataDijkvakken[#All],7,FALSE)))</f>
        <v/>
      </c>
      <c r="Z137">
        <f>VLOOKUP($C137,DataDijkvakken[#All],3,FALSE)</f>
        <v>18</v>
      </c>
      <c r="AA137" s="8"/>
    </row>
    <row r="138" spans="1:27" x14ac:dyDescent="0.3">
      <c r="A138">
        <f>IFERROR(IF(Ondergrondscenarios[[#This Row],[Scenarionaam '[-']]]="","",A137+1),1)</f>
        <v>137</v>
      </c>
      <c r="B138">
        <f>A139/6</f>
        <v>23</v>
      </c>
      <c r="C138" t="str">
        <f>VLOOKUP(Ondergrondscenarios[[#This Row],[VakID '[-']]],DataDijkvakken!A:I,2,FALSE)</f>
        <v>07e</v>
      </c>
      <c r="D138" s="8" t="str">
        <f>GenererenScenarios!$B$7</f>
        <v>P_S5</v>
      </c>
      <c r="E138" s="8" t="str">
        <f>GenererenScenarios!$C$7</f>
        <v>-</v>
      </c>
      <c r="F138" s="26">
        <v>0</v>
      </c>
      <c r="G138" s="29">
        <f>VLOOKUP($C138,DataDijkvakken!$B:$G,2,FALSE)</f>
        <v>1.7012527500000001</v>
      </c>
      <c r="H138" s="7"/>
      <c r="I138" s="7"/>
      <c r="J138" s="29"/>
      <c r="K138" s="29">
        <f t="shared" si="18"/>
        <v>1.7012527500000001</v>
      </c>
      <c r="L138" s="7"/>
      <c r="M138" s="29">
        <f>IF(Ondergrondscenarios[[#This Row],[Scenariotype '[-']]]="Tussenzandlaag",0,VLOOKUP($C138,DataDijkvakken[#All],4,FALSE))</f>
        <v>43.5</v>
      </c>
      <c r="N138" s="29">
        <f t="shared" si="19"/>
        <v>43.5</v>
      </c>
      <c r="O138" s="29">
        <f>VLOOKUP($C138,DataDijkvakken!$B:$G,5,FALSE)</f>
        <v>15</v>
      </c>
      <c r="P138" s="29">
        <f>VLOOKUP($C138,DataDijkvakken!$B:$G,6,FALSE)</f>
        <v>42.52873563218391</v>
      </c>
      <c r="Q138" s="29">
        <f t="shared" si="20"/>
        <v>42.52873563218391</v>
      </c>
      <c r="R138" s="7">
        <v>1850</v>
      </c>
      <c r="S138" s="27"/>
      <c r="T138" s="32">
        <f t="shared" si="21"/>
        <v>0</v>
      </c>
      <c r="U138" s="27"/>
      <c r="V138">
        <f t="shared" si="22"/>
        <v>35.125275000000009</v>
      </c>
      <c r="W138" s="31">
        <f t="shared" si="23"/>
        <v>254.91519913492803</v>
      </c>
      <c r="X138" s="33"/>
      <c r="Y138" t="str">
        <f>IF(Ondergrondscenarios[[#This Row],[Scenariotype '[-']]]="-","",IF(Ondergrondscenarios[[#This Row],[Scenariotype '[-']]]="Pleistoceen",VLOOKUP(Ondergrondscenarios[[#This Row],[Vaknaam '[-']]],DataDijkvakken[#All],8,FALSE),VLOOKUP(Ondergrondscenarios[[#This Row],[Vaknaam '[-']]],DataDijkvakken[#All],7,FALSE)))</f>
        <v/>
      </c>
      <c r="Z138">
        <f>VLOOKUP($C138,DataDijkvakken[#All],3,FALSE)</f>
        <v>18</v>
      </c>
      <c r="AA138" s="8"/>
    </row>
    <row r="139" spans="1:27" x14ac:dyDescent="0.3">
      <c r="A139">
        <f>IFERROR(IF(Ondergrondscenarios[[#This Row],[Scenarionaam '[-']]]="","",A138+1),1)</f>
        <v>138</v>
      </c>
      <c r="B139">
        <f>A139/6</f>
        <v>23</v>
      </c>
      <c r="C139" t="str">
        <f>VLOOKUP(Ondergrondscenarios[[#This Row],[VakID '[-']]],DataDijkvakken!A:I,2,FALSE)</f>
        <v>07e</v>
      </c>
      <c r="D139" s="8" t="str">
        <f>GenererenScenarios!$B$8</f>
        <v>P_S6</v>
      </c>
      <c r="E139" s="8" t="str">
        <f>GenererenScenarios!$C$8</f>
        <v>-</v>
      </c>
      <c r="F139" s="26">
        <v>0</v>
      </c>
      <c r="G139" s="29">
        <f>VLOOKUP($C139,DataDijkvakken!$B:$G,2,FALSE)</f>
        <v>1.7012527500000001</v>
      </c>
      <c r="H139" s="7"/>
      <c r="I139" s="7"/>
      <c r="J139" s="29"/>
      <c r="K139" s="29">
        <f t="shared" si="18"/>
        <v>1.7012527500000001</v>
      </c>
      <c r="L139" s="7"/>
      <c r="M139" s="29">
        <f>IF(Ondergrondscenarios[[#This Row],[Scenariotype '[-']]]="Tussenzandlaag",0,VLOOKUP($C139,DataDijkvakken[#All],4,FALSE))</f>
        <v>43.5</v>
      </c>
      <c r="N139" s="29">
        <f t="shared" si="19"/>
        <v>43.5</v>
      </c>
      <c r="O139" s="29">
        <f>VLOOKUP($C139,DataDijkvakken!$B:$G,5,FALSE)</f>
        <v>15</v>
      </c>
      <c r="P139" s="29">
        <f>VLOOKUP($C139,DataDijkvakken!$B:$G,6,FALSE)</f>
        <v>42.52873563218391</v>
      </c>
      <c r="Q139" s="29">
        <f t="shared" si="20"/>
        <v>42.52873563218391</v>
      </c>
      <c r="R139" s="7">
        <v>1850</v>
      </c>
      <c r="S139" s="27"/>
      <c r="T139" s="32">
        <f t="shared" si="21"/>
        <v>0</v>
      </c>
      <c r="U139" s="27"/>
      <c r="V139">
        <f t="shared" si="22"/>
        <v>35.125275000000009</v>
      </c>
      <c r="W139" s="31">
        <f t="shared" si="23"/>
        <v>254.91519913492803</v>
      </c>
      <c r="X139" s="33"/>
      <c r="Y139" t="str">
        <f>IF(Ondergrondscenarios[[#This Row],[Scenariotype '[-']]]="-","",IF(Ondergrondscenarios[[#This Row],[Scenariotype '[-']]]="Pleistoceen",VLOOKUP(Ondergrondscenarios[[#This Row],[Vaknaam '[-']]],DataDijkvakken[#All],8,FALSE),VLOOKUP(Ondergrondscenarios[[#This Row],[Vaknaam '[-']]],DataDijkvakken[#All],7,FALSE)))</f>
        <v/>
      </c>
      <c r="Z139">
        <f>VLOOKUP($C139,DataDijkvakken[#All],3,FALSE)</f>
        <v>18</v>
      </c>
      <c r="AA139" s="8"/>
    </row>
    <row r="140" spans="1:27" x14ac:dyDescent="0.3">
      <c r="A140">
        <f>IFERROR(IF(Ondergrondscenarios[[#This Row],[Scenarionaam '[-']]]="","",A139+1),1)</f>
        <v>139</v>
      </c>
      <c r="B140">
        <f>A145/6</f>
        <v>24</v>
      </c>
      <c r="C140" t="str">
        <f>VLOOKUP(Ondergrondscenarios[[#This Row],[VakID '[-']]],DataDijkvakken!A:I,2,FALSE)</f>
        <v>07f</v>
      </c>
      <c r="D140" s="8" t="str">
        <f>GenererenScenarios!$B$3</f>
        <v>P_S1_PL</v>
      </c>
      <c r="E140" s="8" t="str">
        <f>GenererenScenarios!$C$3</f>
        <v>Pleistoceen</v>
      </c>
      <c r="F140" s="26">
        <v>1</v>
      </c>
      <c r="G140" s="29">
        <f>VLOOKUP($C140,DataDijkvakken!$B:$G,2,FALSE)</f>
        <v>2.5414865</v>
      </c>
      <c r="H140" s="7"/>
      <c r="I140" s="7"/>
      <c r="J140" s="29">
        <v>-5.5</v>
      </c>
      <c r="K140" s="29">
        <f t="shared" si="18"/>
        <v>8.0414864999999995</v>
      </c>
      <c r="L140" s="7">
        <v>0</v>
      </c>
      <c r="M140" s="29">
        <f>IF(Ondergrondscenarios[[#This Row],[Scenariotype '[-']]]="Tussenzandlaag",0,VLOOKUP($C140,DataDijkvakken[#All],4,FALSE))</f>
        <v>43.5</v>
      </c>
      <c r="N140" s="29">
        <f t="shared" si="19"/>
        <v>43.5</v>
      </c>
      <c r="O140" s="29">
        <f>VLOOKUP($C140,DataDijkvakken!$B:$G,5,FALSE)</f>
        <v>15</v>
      </c>
      <c r="P140" s="29">
        <f>VLOOKUP($C140,DataDijkvakken!$B:$G,6,FALSE)</f>
        <v>42.52873563218391</v>
      </c>
      <c r="Q140" s="29">
        <f t="shared" si="20"/>
        <v>42.52873563218391</v>
      </c>
      <c r="R140" s="7">
        <v>1850</v>
      </c>
      <c r="S140" s="27"/>
      <c r="T140" s="32">
        <f t="shared" si="21"/>
        <v>0</v>
      </c>
      <c r="U140" s="27"/>
      <c r="V140">
        <f t="shared" si="22"/>
        <v>669.14864999999998</v>
      </c>
      <c r="W140" s="31">
        <f t="shared" si="23"/>
        <v>1112.6207810840133</v>
      </c>
      <c r="X140" s="33"/>
      <c r="Y140">
        <f>IF(Ondergrondscenarios[[#This Row],[Scenariotype '[-']]]="-","",IF(Ondergrondscenarios[[#This Row],[Scenariotype '[-']]]="Pleistoceen",VLOOKUP(Ondergrondscenarios[[#This Row],[Vaknaam '[-']]],DataDijkvakken[#All],8,FALSE),VLOOKUP(Ondergrondscenarios[[#This Row],[Vaknaam '[-']]],DataDijkvakken[#All],7,FALSE)))</f>
        <v>3.5000000000000005E-4</v>
      </c>
      <c r="Z140">
        <f>VLOOKUP($C140,DataDijkvakken[#All],3,FALSE)</f>
        <v>18</v>
      </c>
      <c r="AA140" s="8"/>
    </row>
    <row r="141" spans="1:27" x14ac:dyDescent="0.3">
      <c r="A141">
        <f>IFERROR(IF(Ondergrondscenarios[[#This Row],[Scenarionaam '[-']]]="","",A140+1),1)</f>
        <v>140</v>
      </c>
      <c r="B141">
        <f>A145/6</f>
        <v>24</v>
      </c>
      <c r="C141" t="str">
        <f>VLOOKUP(Ondergrondscenarios[[#This Row],[VakID '[-']]],DataDijkvakken!A:I,2,FALSE)</f>
        <v>07f</v>
      </c>
      <c r="D141" s="8" t="str">
        <f>GenererenScenarios!$B$4</f>
        <v>P_S2_HL_F</v>
      </c>
      <c r="E141" s="8" t="str">
        <f>GenererenScenarios!$C$4</f>
        <v>Holoceen</v>
      </c>
      <c r="F141" s="26">
        <v>0</v>
      </c>
      <c r="G141" s="29">
        <f>VLOOKUP($C141,DataDijkvakken!$B:$G,2,FALSE)</f>
        <v>2.5414865</v>
      </c>
      <c r="H141" s="7"/>
      <c r="I141" s="7"/>
      <c r="J141" s="29">
        <v>-0.5</v>
      </c>
      <c r="K141" s="29">
        <f t="shared" si="18"/>
        <v>3.0414865</v>
      </c>
      <c r="L141" s="7">
        <v>5</v>
      </c>
      <c r="M141" s="29">
        <f>IF(Ondergrondscenarios[[#This Row],[Scenariotype '[-']]]="Tussenzandlaag",0,VLOOKUP($C141,DataDijkvakken[#All],4,FALSE))</f>
        <v>43.5</v>
      </c>
      <c r="N141" s="29">
        <f t="shared" si="19"/>
        <v>48.5</v>
      </c>
      <c r="O141" s="29">
        <f>VLOOKUP($C141,DataDijkvakken!$B:$G,5,FALSE)</f>
        <v>15</v>
      </c>
      <c r="P141" s="29">
        <f>VLOOKUP($C141,DataDijkvakken!$B:$G,6,FALSE)</f>
        <v>42.52873563218391</v>
      </c>
      <c r="Q141" s="29">
        <f t="shared" si="20"/>
        <v>39.690721649484537</v>
      </c>
      <c r="R141" s="7">
        <v>1925</v>
      </c>
      <c r="S141" s="27"/>
      <c r="T141" s="32">
        <f t="shared" si="21"/>
        <v>0</v>
      </c>
      <c r="U141" s="27"/>
      <c r="V141">
        <f t="shared" si="22"/>
        <v>169.14865</v>
      </c>
      <c r="W141" s="31">
        <f t="shared" si="23"/>
        <v>570.62347590157913</v>
      </c>
      <c r="X141" s="33"/>
      <c r="Y141">
        <f>IF(Ondergrondscenarios[[#This Row],[Scenariotype '[-']]]="-","",IF(Ondergrondscenarios[[#This Row],[Scenariotype '[-']]]="Pleistoceen",VLOOKUP(Ondergrondscenarios[[#This Row],[Vaknaam '[-']]],DataDijkvakken[#All],8,FALSE),VLOOKUP(Ondergrondscenarios[[#This Row],[Vaknaam '[-']]],DataDijkvakken[#All],7,FALSE)))</f>
        <v>2.5999999999999998E-4</v>
      </c>
      <c r="Z141">
        <f>VLOOKUP($C141,DataDijkvakken[#All],3,FALSE)</f>
        <v>18</v>
      </c>
      <c r="AA141" s="8"/>
    </row>
    <row r="142" spans="1:27" x14ac:dyDescent="0.3">
      <c r="A142">
        <f>IFERROR(IF(Ondergrondscenarios[[#This Row],[Scenarionaam '[-']]]="","",A141+1),1)</f>
        <v>141</v>
      </c>
      <c r="B142">
        <f>A145/6</f>
        <v>24</v>
      </c>
      <c r="C142" t="str">
        <f>VLOOKUP(Ondergrondscenarios[[#This Row],[VakID '[-']]],DataDijkvakken!A:I,2,FALSE)</f>
        <v>07f</v>
      </c>
      <c r="D142" s="8" t="str">
        <f>GenererenScenarios!$B$5</f>
        <v>P_S3_HL_TZ</v>
      </c>
      <c r="E142" s="8" t="str">
        <f>GenererenScenarios!$C$5</f>
        <v>Tussenzandlaag</v>
      </c>
      <c r="F142" s="26">
        <v>0</v>
      </c>
      <c r="G142" s="29">
        <f>VLOOKUP($C142,DataDijkvakken!$B:$G,2,FALSE)</f>
        <v>2.5414865</v>
      </c>
      <c r="H142" s="7"/>
      <c r="I142" s="7"/>
      <c r="J142" s="29"/>
      <c r="K142" s="29">
        <f t="shared" si="18"/>
        <v>2.5414865</v>
      </c>
      <c r="L142" s="7"/>
      <c r="M142" s="29">
        <f>IF(Ondergrondscenarios[[#This Row],[Scenariotype '[-']]]="Tussenzandlaag",0,VLOOKUP($C142,DataDijkvakken[#All],4,FALSE))</f>
        <v>0</v>
      </c>
      <c r="N142" s="29">
        <f t="shared" si="19"/>
        <v>0.1</v>
      </c>
      <c r="O142" s="29">
        <f>VLOOKUP($C142,DataDijkvakken!$B:$G,5,FALSE)</f>
        <v>15</v>
      </c>
      <c r="P142" s="29">
        <f>VLOOKUP($C142,DataDijkvakken!$B:$G,6,FALSE)</f>
        <v>42.52873563218391</v>
      </c>
      <c r="Q142" s="29">
        <f t="shared" si="20"/>
        <v>0.1</v>
      </c>
      <c r="R142" s="7">
        <v>1.0000000000000002E-2</v>
      </c>
      <c r="S142" s="27"/>
      <c r="T142" s="32">
        <f t="shared" si="21"/>
        <v>0</v>
      </c>
      <c r="U142" s="27"/>
      <c r="V142">
        <f t="shared" si="22"/>
        <v>119.14864999999999</v>
      </c>
      <c r="W142" s="31">
        <f t="shared" si="23"/>
        <v>1.0915523349798673</v>
      </c>
      <c r="X142" s="33"/>
      <c r="Y142">
        <f>IF(Ondergrondscenarios[[#This Row],[Scenariotype '[-']]]="-","",IF(Ondergrondscenarios[[#This Row],[Scenariotype '[-']]]="Pleistoceen",VLOOKUP(Ondergrondscenarios[[#This Row],[Vaknaam '[-']]],DataDijkvakken[#All],8,FALSE),VLOOKUP(Ondergrondscenarios[[#This Row],[Vaknaam '[-']]],DataDijkvakken[#All],7,FALSE)))</f>
        <v>2.5999999999999998E-4</v>
      </c>
      <c r="Z142">
        <f>VLOOKUP($C142,DataDijkvakken[#All],3,FALSE)</f>
        <v>18</v>
      </c>
      <c r="AA142" s="8"/>
    </row>
    <row r="143" spans="1:27" x14ac:dyDescent="0.3">
      <c r="A143">
        <f>IFERROR(IF(Ondergrondscenarios[[#This Row],[Scenarionaam '[-']]]="","",A142+1),1)</f>
        <v>142</v>
      </c>
      <c r="B143">
        <f>A145/6</f>
        <v>24</v>
      </c>
      <c r="C143" t="str">
        <f>VLOOKUP(Ondergrondscenarios[[#This Row],[VakID '[-']]],DataDijkvakken!A:I,2,FALSE)</f>
        <v>07f</v>
      </c>
      <c r="D143" s="8" t="str">
        <f>GenererenScenarios!$B$6</f>
        <v>P_S4</v>
      </c>
      <c r="E143" s="8" t="str">
        <f>GenererenScenarios!$C$6</f>
        <v>-</v>
      </c>
      <c r="F143" s="26">
        <v>0</v>
      </c>
      <c r="G143" s="29">
        <f>VLOOKUP($C143,DataDijkvakken!$B:$G,2,FALSE)</f>
        <v>2.5414865</v>
      </c>
      <c r="H143" s="7"/>
      <c r="I143" s="7"/>
      <c r="J143" s="29"/>
      <c r="K143" s="29">
        <f t="shared" si="18"/>
        <v>2.5414865</v>
      </c>
      <c r="L143" s="7"/>
      <c r="M143" s="29">
        <f>IF(Ondergrondscenarios[[#This Row],[Scenariotype '[-']]]="Tussenzandlaag",0,VLOOKUP($C143,DataDijkvakken[#All],4,FALSE))</f>
        <v>43.5</v>
      </c>
      <c r="N143" s="29">
        <f t="shared" si="19"/>
        <v>43.5</v>
      </c>
      <c r="O143" s="29">
        <f>VLOOKUP($C143,DataDijkvakken!$B:$G,5,FALSE)</f>
        <v>15</v>
      </c>
      <c r="P143" s="29">
        <f>VLOOKUP($C143,DataDijkvakken!$B:$G,6,FALSE)</f>
        <v>42.52873563218391</v>
      </c>
      <c r="Q143" s="29">
        <f t="shared" si="20"/>
        <v>42.52873563218391</v>
      </c>
      <c r="R143" s="7">
        <v>1850</v>
      </c>
      <c r="S143" s="27"/>
      <c r="T143" s="32">
        <f t="shared" si="21"/>
        <v>0</v>
      </c>
      <c r="U143" s="27"/>
      <c r="V143">
        <f t="shared" si="22"/>
        <v>119.14864999999999</v>
      </c>
      <c r="W143" s="31">
        <f t="shared" si="23"/>
        <v>469.49441157483437</v>
      </c>
      <c r="X143" s="33"/>
      <c r="Y143" t="str">
        <f>IF(Ondergrondscenarios[[#This Row],[Scenariotype '[-']]]="-","",IF(Ondergrondscenarios[[#This Row],[Scenariotype '[-']]]="Pleistoceen",VLOOKUP(Ondergrondscenarios[[#This Row],[Vaknaam '[-']]],DataDijkvakken[#All],8,FALSE),VLOOKUP(Ondergrondscenarios[[#This Row],[Vaknaam '[-']]],DataDijkvakken[#All],7,FALSE)))</f>
        <v/>
      </c>
      <c r="Z143">
        <f>VLOOKUP($C143,DataDijkvakken[#All],3,FALSE)</f>
        <v>18</v>
      </c>
      <c r="AA143" s="8"/>
    </row>
    <row r="144" spans="1:27" x14ac:dyDescent="0.3">
      <c r="A144">
        <f>IFERROR(IF(Ondergrondscenarios[[#This Row],[Scenarionaam '[-']]]="","",A143+1),1)</f>
        <v>143</v>
      </c>
      <c r="B144">
        <f>A145/6</f>
        <v>24</v>
      </c>
      <c r="C144" t="str">
        <f>VLOOKUP(Ondergrondscenarios[[#This Row],[VakID '[-']]],DataDijkvakken!A:I,2,FALSE)</f>
        <v>07f</v>
      </c>
      <c r="D144" s="8" t="str">
        <f>GenererenScenarios!$B$7</f>
        <v>P_S5</v>
      </c>
      <c r="E144" s="8" t="str">
        <f>GenererenScenarios!$C$7</f>
        <v>-</v>
      </c>
      <c r="F144" s="26">
        <v>0</v>
      </c>
      <c r="G144" s="29">
        <f>VLOOKUP($C144,DataDijkvakken!$B:$G,2,FALSE)</f>
        <v>2.5414865</v>
      </c>
      <c r="H144" s="7"/>
      <c r="I144" s="7"/>
      <c r="J144" s="29"/>
      <c r="K144" s="29">
        <f t="shared" si="18"/>
        <v>2.5414865</v>
      </c>
      <c r="L144" s="7"/>
      <c r="M144" s="29">
        <f>IF(Ondergrondscenarios[[#This Row],[Scenariotype '[-']]]="Tussenzandlaag",0,VLOOKUP($C144,DataDijkvakken[#All],4,FALSE))</f>
        <v>43.5</v>
      </c>
      <c r="N144" s="29">
        <f t="shared" si="19"/>
        <v>43.5</v>
      </c>
      <c r="O144" s="29">
        <f>VLOOKUP($C144,DataDijkvakken!$B:$G,5,FALSE)</f>
        <v>15</v>
      </c>
      <c r="P144" s="29">
        <f>VLOOKUP($C144,DataDijkvakken!$B:$G,6,FALSE)</f>
        <v>42.52873563218391</v>
      </c>
      <c r="Q144" s="29">
        <f t="shared" si="20"/>
        <v>42.52873563218391</v>
      </c>
      <c r="R144" s="7">
        <v>1850</v>
      </c>
      <c r="S144" s="27"/>
      <c r="T144" s="32">
        <f t="shared" si="21"/>
        <v>0</v>
      </c>
      <c r="U144" s="27"/>
      <c r="V144">
        <f t="shared" si="22"/>
        <v>119.14864999999999</v>
      </c>
      <c r="W144" s="31">
        <f t="shared" si="23"/>
        <v>469.49441157483437</v>
      </c>
      <c r="X144" s="33"/>
      <c r="Y144" t="str">
        <f>IF(Ondergrondscenarios[[#This Row],[Scenariotype '[-']]]="-","",IF(Ondergrondscenarios[[#This Row],[Scenariotype '[-']]]="Pleistoceen",VLOOKUP(Ondergrondscenarios[[#This Row],[Vaknaam '[-']]],DataDijkvakken[#All],8,FALSE),VLOOKUP(Ondergrondscenarios[[#This Row],[Vaknaam '[-']]],DataDijkvakken[#All],7,FALSE)))</f>
        <v/>
      </c>
      <c r="Z144">
        <f>VLOOKUP($C144,DataDijkvakken[#All],3,FALSE)</f>
        <v>18</v>
      </c>
      <c r="AA144" s="8"/>
    </row>
    <row r="145" spans="1:27" x14ac:dyDescent="0.3">
      <c r="A145">
        <f>IFERROR(IF(Ondergrondscenarios[[#This Row],[Scenarionaam '[-']]]="","",A144+1),1)</f>
        <v>144</v>
      </c>
      <c r="B145">
        <f>A145/6</f>
        <v>24</v>
      </c>
      <c r="C145" t="str">
        <f>VLOOKUP(Ondergrondscenarios[[#This Row],[VakID '[-']]],DataDijkvakken!A:I,2,FALSE)</f>
        <v>07f</v>
      </c>
      <c r="D145" s="8" t="str">
        <f>GenererenScenarios!$B$8</f>
        <v>P_S6</v>
      </c>
      <c r="E145" s="8" t="str">
        <f>GenererenScenarios!$C$8</f>
        <v>-</v>
      </c>
      <c r="F145" s="26">
        <v>0</v>
      </c>
      <c r="G145" s="29">
        <f>VLOOKUP($C145,DataDijkvakken!$B:$G,2,FALSE)</f>
        <v>2.5414865</v>
      </c>
      <c r="H145" s="7"/>
      <c r="I145" s="7"/>
      <c r="J145" s="29"/>
      <c r="K145" s="29">
        <f t="shared" si="18"/>
        <v>2.5414865</v>
      </c>
      <c r="L145" s="7"/>
      <c r="M145" s="29">
        <f>IF(Ondergrondscenarios[[#This Row],[Scenariotype '[-']]]="Tussenzandlaag",0,VLOOKUP($C145,DataDijkvakken[#All],4,FALSE))</f>
        <v>43.5</v>
      </c>
      <c r="N145" s="29">
        <f t="shared" si="19"/>
        <v>43.5</v>
      </c>
      <c r="O145" s="29">
        <f>VLOOKUP($C145,DataDijkvakken!$B:$G,5,FALSE)</f>
        <v>15</v>
      </c>
      <c r="P145" s="29">
        <f>VLOOKUP($C145,DataDijkvakken!$B:$G,6,FALSE)</f>
        <v>42.52873563218391</v>
      </c>
      <c r="Q145" s="29">
        <f t="shared" si="20"/>
        <v>42.52873563218391</v>
      </c>
      <c r="R145" s="7">
        <v>1850</v>
      </c>
      <c r="S145" s="27"/>
      <c r="T145" s="32">
        <f t="shared" si="21"/>
        <v>0</v>
      </c>
      <c r="U145" s="27"/>
      <c r="V145">
        <f t="shared" si="22"/>
        <v>119.14864999999999</v>
      </c>
      <c r="W145" s="31">
        <f t="shared" si="23"/>
        <v>469.49441157483437</v>
      </c>
      <c r="X145" s="33"/>
      <c r="Y145" t="str">
        <f>IF(Ondergrondscenarios[[#This Row],[Scenariotype '[-']]]="-","",IF(Ondergrondscenarios[[#This Row],[Scenariotype '[-']]]="Pleistoceen",VLOOKUP(Ondergrondscenarios[[#This Row],[Vaknaam '[-']]],DataDijkvakken[#All],8,FALSE),VLOOKUP(Ondergrondscenarios[[#This Row],[Vaknaam '[-']]],DataDijkvakken[#All],7,FALSE)))</f>
        <v/>
      </c>
      <c r="Z145">
        <f>VLOOKUP($C145,DataDijkvakken[#All],3,FALSE)</f>
        <v>18</v>
      </c>
      <c r="AA145" s="8"/>
    </row>
    <row r="146" spans="1:27" x14ac:dyDescent="0.3">
      <c r="A146">
        <f>IFERROR(IF(Ondergrondscenarios[[#This Row],[Scenarionaam '[-']]]="","",A145+1),1)</f>
        <v>145</v>
      </c>
      <c r="B146">
        <f>A151/6</f>
        <v>25</v>
      </c>
      <c r="C146" t="str">
        <f>VLOOKUP(Ondergrondscenarios[[#This Row],[VakID '[-']]],DataDijkvakken!A:I,2,FALSE)</f>
        <v>07g</v>
      </c>
      <c r="D146" s="8" t="str">
        <f>GenererenScenarios!$B$3</f>
        <v>P_S1_PL</v>
      </c>
      <c r="E146" s="8" t="str">
        <f>GenererenScenarios!$C$3</f>
        <v>Pleistoceen</v>
      </c>
      <c r="F146" s="26">
        <v>0.5</v>
      </c>
      <c r="G146" s="29">
        <f>VLOOKUP($C146,DataDijkvakken!$B:$G,2,FALSE)</f>
        <v>1.3009032857142857</v>
      </c>
      <c r="H146" s="7"/>
      <c r="I146" s="7"/>
      <c r="J146" s="29">
        <v>-5.5</v>
      </c>
      <c r="K146" s="29">
        <f t="shared" si="18"/>
        <v>6.8009032857142859</v>
      </c>
      <c r="L146" s="7">
        <v>0</v>
      </c>
      <c r="M146" s="29">
        <f>IF(Ondergrondscenarios[[#This Row],[Scenariotype '[-']]]="Tussenzandlaag",0,VLOOKUP($C146,DataDijkvakken[#All],4,FALSE))</f>
        <v>43</v>
      </c>
      <c r="N146" s="29">
        <f t="shared" si="19"/>
        <v>43</v>
      </c>
      <c r="O146" s="29">
        <f>VLOOKUP($C146,DataDijkvakken!$B:$G,5,FALSE)</f>
        <v>15</v>
      </c>
      <c r="P146" s="29">
        <f>VLOOKUP($C146,DataDijkvakken!$B:$G,6,FALSE)</f>
        <v>35.174418604651166</v>
      </c>
      <c r="Q146" s="29">
        <f t="shared" si="20"/>
        <v>35.174418604651166</v>
      </c>
      <c r="R146" s="7">
        <v>1512.5000000000002</v>
      </c>
      <c r="S146" s="27"/>
      <c r="T146" s="32">
        <f t="shared" si="21"/>
        <v>0</v>
      </c>
      <c r="U146" s="27"/>
      <c r="V146">
        <f t="shared" si="22"/>
        <v>545.09032857142859</v>
      </c>
      <c r="W146" s="31">
        <f t="shared" si="23"/>
        <v>907.99180721209473</v>
      </c>
      <c r="X146" s="33"/>
      <c r="Y146">
        <f>IF(Ondergrondscenarios[[#This Row],[Scenariotype '[-']]]="-","",IF(Ondergrondscenarios[[#This Row],[Scenariotype '[-']]]="Pleistoceen",VLOOKUP(Ondergrondscenarios[[#This Row],[Vaknaam '[-']]],DataDijkvakken[#All],8,FALSE),VLOOKUP(Ondergrondscenarios[[#This Row],[Vaknaam '[-']]],DataDijkvakken[#All],7,FALSE)))</f>
        <v>3.5000000000000005E-4</v>
      </c>
      <c r="Z146">
        <f>VLOOKUP($C146,DataDijkvakken[#All],3,FALSE)</f>
        <v>18</v>
      </c>
      <c r="AA146" s="8"/>
    </row>
    <row r="147" spans="1:27" x14ac:dyDescent="0.3">
      <c r="A147">
        <f>IFERROR(IF(Ondergrondscenarios[[#This Row],[Scenarionaam '[-']]]="","",A146+1),1)</f>
        <v>146</v>
      </c>
      <c r="B147">
        <f>A151/6</f>
        <v>25</v>
      </c>
      <c r="C147" t="str">
        <f>VLOOKUP(Ondergrondscenarios[[#This Row],[VakID '[-']]],DataDijkvakken!A:I,2,FALSE)</f>
        <v>07g</v>
      </c>
      <c r="D147" s="8" t="str">
        <f>GenererenScenarios!$B$4</f>
        <v>P_S2_HL_F</v>
      </c>
      <c r="E147" s="8" t="str">
        <f>GenererenScenarios!$C$4</f>
        <v>Holoceen</v>
      </c>
      <c r="F147" s="26">
        <v>0.5</v>
      </c>
      <c r="G147" s="29">
        <f>VLOOKUP($C147,DataDijkvakken!$B:$G,2,FALSE)</f>
        <v>1.3009032857142857</v>
      </c>
      <c r="H147" s="7"/>
      <c r="I147" s="7"/>
      <c r="J147" s="29">
        <v>-2.9</v>
      </c>
      <c r="K147" s="29">
        <f t="shared" si="18"/>
        <v>4.2009032857142854</v>
      </c>
      <c r="L147" s="7">
        <v>5.5</v>
      </c>
      <c r="M147" s="29">
        <f>IF(Ondergrondscenarios[[#This Row],[Scenariotype '[-']]]="Tussenzandlaag",0,VLOOKUP($C147,DataDijkvakken[#All],4,FALSE))</f>
        <v>43</v>
      </c>
      <c r="N147" s="29">
        <f t="shared" si="19"/>
        <v>48.5</v>
      </c>
      <c r="O147" s="29">
        <f>VLOOKUP($C147,DataDijkvakken!$B:$G,5,FALSE)</f>
        <v>15</v>
      </c>
      <c r="P147" s="29">
        <f>VLOOKUP($C147,DataDijkvakken!$B:$G,6,FALSE)</f>
        <v>35.174418604651166</v>
      </c>
      <c r="Q147" s="29">
        <f t="shared" si="20"/>
        <v>32.886597938144334</v>
      </c>
      <c r="R147" s="7">
        <v>1595.0000000000002</v>
      </c>
      <c r="S147" s="27"/>
      <c r="T147" s="32">
        <f t="shared" si="21"/>
        <v>0</v>
      </c>
      <c r="U147" s="27"/>
      <c r="V147">
        <f t="shared" si="22"/>
        <v>285.09032857142853</v>
      </c>
      <c r="W147" s="31">
        <f t="shared" si="23"/>
        <v>674.32860985681793</v>
      </c>
      <c r="X147" s="33"/>
      <c r="Y147">
        <f>IF(Ondergrondscenarios[[#This Row],[Scenariotype '[-']]]="-","",IF(Ondergrondscenarios[[#This Row],[Scenariotype '[-']]]="Pleistoceen",VLOOKUP(Ondergrondscenarios[[#This Row],[Vaknaam '[-']]],DataDijkvakken[#All],8,FALSE),VLOOKUP(Ondergrondscenarios[[#This Row],[Vaknaam '[-']]],DataDijkvakken[#All],7,FALSE)))</f>
        <v>2.5999999999999998E-4</v>
      </c>
      <c r="Z147">
        <f>VLOOKUP($C147,DataDijkvakken[#All],3,FALSE)</f>
        <v>18</v>
      </c>
      <c r="AA147" s="8"/>
    </row>
    <row r="148" spans="1:27" x14ac:dyDescent="0.3">
      <c r="A148">
        <f>IFERROR(IF(Ondergrondscenarios[[#This Row],[Scenarionaam '[-']]]="","",A147+1),1)</f>
        <v>147</v>
      </c>
      <c r="B148">
        <f>A151/6</f>
        <v>25</v>
      </c>
      <c r="C148" t="str">
        <f>VLOOKUP(Ondergrondscenarios[[#This Row],[VakID '[-']]],DataDijkvakken!A:I,2,FALSE)</f>
        <v>07g</v>
      </c>
      <c r="D148" s="8" t="str">
        <f>GenererenScenarios!$B$5</f>
        <v>P_S3_HL_TZ</v>
      </c>
      <c r="E148" s="8" t="str">
        <f>GenererenScenarios!$C$5</f>
        <v>Tussenzandlaag</v>
      </c>
      <c r="F148" s="26">
        <v>0</v>
      </c>
      <c r="G148" s="29">
        <f>VLOOKUP($C148,DataDijkvakken!$B:$G,2,FALSE)</f>
        <v>1.3009032857142857</v>
      </c>
      <c r="H148" s="7"/>
      <c r="I148" s="7"/>
      <c r="J148" s="29"/>
      <c r="K148" s="29">
        <f t="shared" si="18"/>
        <v>1.3009032857142857</v>
      </c>
      <c r="L148" s="7"/>
      <c r="M148" s="29">
        <f>IF(Ondergrondscenarios[[#This Row],[Scenariotype '[-']]]="Tussenzandlaag",0,VLOOKUP($C148,DataDijkvakken[#All],4,FALSE))</f>
        <v>0</v>
      </c>
      <c r="N148" s="29">
        <f t="shared" si="19"/>
        <v>0.1</v>
      </c>
      <c r="O148" s="29">
        <f>VLOOKUP($C148,DataDijkvakken!$B:$G,5,FALSE)</f>
        <v>15</v>
      </c>
      <c r="P148" s="29">
        <f>VLOOKUP($C148,DataDijkvakken!$B:$G,6,FALSE)</f>
        <v>35.174418604651166</v>
      </c>
      <c r="Q148" s="29">
        <f t="shared" si="20"/>
        <v>0.1</v>
      </c>
      <c r="R148" s="7">
        <v>1.0000000000000002E-2</v>
      </c>
      <c r="S148" s="27"/>
      <c r="T148" s="32">
        <f t="shared" si="21"/>
        <v>0</v>
      </c>
      <c r="U148" s="27"/>
      <c r="V148">
        <f t="shared" si="22"/>
        <v>13.009032857142856</v>
      </c>
      <c r="W148" s="31">
        <f t="shared" si="23"/>
        <v>0.3606803689853782</v>
      </c>
      <c r="X148" s="33"/>
      <c r="Y148">
        <f>IF(Ondergrondscenarios[[#This Row],[Scenariotype '[-']]]="-","",IF(Ondergrondscenarios[[#This Row],[Scenariotype '[-']]]="Pleistoceen",VLOOKUP(Ondergrondscenarios[[#This Row],[Vaknaam '[-']]],DataDijkvakken[#All],8,FALSE),VLOOKUP(Ondergrondscenarios[[#This Row],[Vaknaam '[-']]],DataDijkvakken[#All],7,FALSE)))</f>
        <v>2.5999999999999998E-4</v>
      </c>
      <c r="Z148">
        <f>VLOOKUP($C148,DataDijkvakken[#All],3,FALSE)</f>
        <v>18</v>
      </c>
      <c r="AA148" s="8"/>
    </row>
    <row r="149" spans="1:27" x14ac:dyDescent="0.3">
      <c r="A149">
        <f>IFERROR(IF(Ondergrondscenarios[[#This Row],[Scenarionaam '[-']]]="","",A148+1),1)</f>
        <v>148</v>
      </c>
      <c r="B149">
        <f>A151/6</f>
        <v>25</v>
      </c>
      <c r="C149" t="str">
        <f>VLOOKUP(Ondergrondscenarios[[#This Row],[VakID '[-']]],DataDijkvakken!A:I,2,FALSE)</f>
        <v>07g</v>
      </c>
      <c r="D149" s="8" t="str">
        <f>GenererenScenarios!$B$6</f>
        <v>P_S4</v>
      </c>
      <c r="E149" s="8" t="str">
        <f>GenererenScenarios!$C$6</f>
        <v>-</v>
      </c>
      <c r="F149" s="26">
        <v>0</v>
      </c>
      <c r="G149" s="29">
        <f>VLOOKUP($C149,DataDijkvakken!$B:$G,2,FALSE)</f>
        <v>1.3009032857142857</v>
      </c>
      <c r="H149" s="7"/>
      <c r="I149" s="7"/>
      <c r="J149" s="29"/>
      <c r="K149" s="29">
        <f t="shared" si="18"/>
        <v>1.3009032857142857</v>
      </c>
      <c r="L149" s="7"/>
      <c r="M149" s="29">
        <f>IF(Ondergrondscenarios[[#This Row],[Scenariotype '[-']]]="Tussenzandlaag",0,VLOOKUP($C149,DataDijkvakken[#All],4,FALSE))</f>
        <v>43</v>
      </c>
      <c r="N149" s="29">
        <f t="shared" si="19"/>
        <v>43</v>
      </c>
      <c r="O149" s="29">
        <f>VLOOKUP($C149,DataDijkvakken!$B:$G,5,FALSE)</f>
        <v>15</v>
      </c>
      <c r="P149" s="29">
        <f>VLOOKUP($C149,DataDijkvakken!$B:$G,6,FALSE)</f>
        <v>35.174418604651166</v>
      </c>
      <c r="Q149" s="29">
        <f t="shared" si="20"/>
        <v>35.174418604651166</v>
      </c>
      <c r="R149" s="7">
        <v>1512.5000000000002</v>
      </c>
      <c r="S149" s="27"/>
      <c r="T149" s="32">
        <f t="shared" si="21"/>
        <v>0</v>
      </c>
      <c r="U149" s="27"/>
      <c r="V149">
        <f t="shared" si="22"/>
        <v>13.009032857142856</v>
      </c>
      <c r="W149" s="31">
        <f t="shared" si="23"/>
        <v>140.27174411273489</v>
      </c>
      <c r="X149" s="33"/>
      <c r="Y149" t="str">
        <f>IF(Ondergrondscenarios[[#This Row],[Scenariotype '[-']]]="-","",IF(Ondergrondscenarios[[#This Row],[Scenariotype '[-']]]="Pleistoceen",VLOOKUP(Ondergrondscenarios[[#This Row],[Vaknaam '[-']]],DataDijkvakken[#All],8,FALSE),VLOOKUP(Ondergrondscenarios[[#This Row],[Vaknaam '[-']]],DataDijkvakken[#All],7,FALSE)))</f>
        <v/>
      </c>
      <c r="Z149">
        <f>VLOOKUP($C149,DataDijkvakken[#All],3,FALSE)</f>
        <v>18</v>
      </c>
      <c r="AA149" s="8"/>
    </row>
    <row r="150" spans="1:27" x14ac:dyDescent="0.3">
      <c r="A150">
        <f>IFERROR(IF(Ondergrondscenarios[[#This Row],[Scenarionaam '[-']]]="","",A149+1),1)</f>
        <v>149</v>
      </c>
      <c r="B150">
        <f>A151/6</f>
        <v>25</v>
      </c>
      <c r="C150" t="str">
        <f>VLOOKUP(Ondergrondscenarios[[#This Row],[VakID '[-']]],DataDijkvakken!A:I,2,FALSE)</f>
        <v>07g</v>
      </c>
      <c r="D150" s="8" t="str">
        <f>GenererenScenarios!$B$7</f>
        <v>P_S5</v>
      </c>
      <c r="E150" s="8" t="str">
        <f>GenererenScenarios!$C$7</f>
        <v>-</v>
      </c>
      <c r="F150" s="26">
        <v>0</v>
      </c>
      <c r="G150" s="29">
        <f>VLOOKUP($C150,DataDijkvakken!$B:$G,2,FALSE)</f>
        <v>1.3009032857142857</v>
      </c>
      <c r="H150" s="7"/>
      <c r="I150" s="7"/>
      <c r="J150" s="29"/>
      <c r="K150" s="29">
        <f t="shared" si="18"/>
        <v>1.3009032857142857</v>
      </c>
      <c r="L150" s="7"/>
      <c r="M150" s="29">
        <f>IF(Ondergrondscenarios[[#This Row],[Scenariotype '[-']]]="Tussenzandlaag",0,VLOOKUP($C150,DataDijkvakken[#All],4,FALSE))</f>
        <v>43</v>
      </c>
      <c r="N150" s="29">
        <f t="shared" si="19"/>
        <v>43</v>
      </c>
      <c r="O150" s="29">
        <f>VLOOKUP($C150,DataDijkvakken!$B:$G,5,FALSE)</f>
        <v>15</v>
      </c>
      <c r="P150" s="29">
        <f>VLOOKUP($C150,DataDijkvakken!$B:$G,6,FALSE)</f>
        <v>35.174418604651166</v>
      </c>
      <c r="Q150" s="29">
        <f t="shared" si="20"/>
        <v>35.174418604651166</v>
      </c>
      <c r="R150" s="7">
        <v>1512.5000000000002</v>
      </c>
      <c r="S150" s="27"/>
      <c r="T150" s="32">
        <f t="shared" si="21"/>
        <v>0</v>
      </c>
      <c r="U150" s="27"/>
      <c r="V150">
        <f t="shared" si="22"/>
        <v>13.009032857142856</v>
      </c>
      <c r="W150" s="31">
        <f t="shared" si="23"/>
        <v>140.27174411273489</v>
      </c>
      <c r="X150" s="33"/>
      <c r="Y150" t="str">
        <f>IF(Ondergrondscenarios[[#This Row],[Scenariotype '[-']]]="-","",IF(Ondergrondscenarios[[#This Row],[Scenariotype '[-']]]="Pleistoceen",VLOOKUP(Ondergrondscenarios[[#This Row],[Vaknaam '[-']]],DataDijkvakken[#All],8,FALSE),VLOOKUP(Ondergrondscenarios[[#This Row],[Vaknaam '[-']]],DataDijkvakken[#All],7,FALSE)))</f>
        <v/>
      </c>
      <c r="Z150">
        <f>VLOOKUP($C150,DataDijkvakken[#All],3,FALSE)</f>
        <v>18</v>
      </c>
      <c r="AA150" s="8"/>
    </row>
    <row r="151" spans="1:27" x14ac:dyDescent="0.3">
      <c r="A151">
        <f>IFERROR(IF(Ondergrondscenarios[[#This Row],[Scenarionaam '[-']]]="","",A150+1),1)</f>
        <v>150</v>
      </c>
      <c r="B151">
        <f>A151/6</f>
        <v>25</v>
      </c>
      <c r="C151" t="str">
        <f>VLOOKUP(Ondergrondscenarios[[#This Row],[VakID '[-']]],DataDijkvakken!A:I,2,FALSE)</f>
        <v>07g</v>
      </c>
      <c r="D151" s="8" t="str">
        <f>GenererenScenarios!$B$8</f>
        <v>P_S6</v>
      </c>
      <c r="E151" s="8" t="str">
        <f>GenererenScenarios!$C$8</f>
        <v>-</v>
      </c>
      <c r="F151" s="26">
        <v>0</v>
      </c>
      <c r="G151" s="29">
        <f>VLOOKUP($C151,DataDijkvakken!$B:$G,2,FALSE)</f>
        <v>1.3009032857142857</v>
      </c>
      <c r="H151" s="7"/>
      <c r="I151" s="7"/>
      <c r="J151" s="29"/>
      <c r="K151" s="29">
        <f t="shared" si="18"/>
        <v>1.3009032857142857</v>
      </c>
      <c r="L151" s="7"/>
      <c r="M151" s="29">
        <f>IF(Ondergrondscenarios[[#This Row],[Scenariotype '[-']]]="Tussenzandlaag",0,VLOOKUP($C151,DataDijkvakken[#All],4,FALSE))</f>
        <v>43</v>
      </c>
      <c r="N151" s="29">
        <f t="shared" si="19"/>
        <v>43</v>
      </c>
      <c r="O151" s="29">
        <f>VLOOKUP($C151,DataDijkvakken!$B:$G,5,FALSE)</f>
        <v>15</v>
      </c>
      <c r="P151" s="29">
        <f>VLOOKUP($C151,DataDijkvakken!$B:$G,6,FALSE)</f>
        <v>35.174418604651166</v>
      </c>
      <c r="Q151" s="29">
        <f t="shared" si="20"/>
        <v>35.174418604651166</v>
      </c>
      <c r="R151" s="7">
        <v>1512.5000000000002</v>
      </c>
      <c r="S151" s="27"/>
      <c r="T151" s="32">
        <f t="shared" si="21"/>
        <v>0</v>
      </c>
      <c r="U151" s="27"/>
      <c r="V151">
        <f t="shared" si="22"/>
        <v>13.009032857142856</v>
      </c>
      <c r="W151" s="31">
        <f t="shared" si="23"/>
        <v>140.27174411273489</v>
      </c>
      <c r="X151" s="33"/>
      <c r="Y151" t="str">
        <f>IF(Ondergrondscenarios[[#This Row],[Scenariotype '[-']]]="-","",IF(Ondergrondscenarios[[#This Row],[Scenariotype '[-']]]="Pleistoceen",VLOOKUP(Ondergrondscenarios[[#This Row],[Vaknaam '[-']]],DataDijkvakken[#All],8,FALSE),VLOOKUP(Ondergrondscenarios[[#This Row],[Vaknaam '[-']]],DataDijkvakken[#All],7,FALSE)))</f>
        <v/>
      </c>
      <c r="Z151">
        <f>VLOOKUP($C151,DataDijkvakken[#All],3,FALSE)</f>
        <v>18</v>
      </c>
      <c r="AA151" s="8"/>
    </row>
    <row r="152" spans="1:27" x14ac:dyDescent="0.3">
      <c r="A152">
        <f>IFERROR(IF(Ondergrondscenarios[[#This Row],[Scenarionaam '[-']]]="","",A151+1),1)</f>
        <v>151</v>
      </c>
      <c r="B152">
        <f>A157/6</f>
        <v>26</v>
      </c>
      <c r="C152" t="str">
        <f>VLOOKUP(Ondergrondscenarios[[#This Row],[VakID '[-']]],DataDijkvakken!A:I,2,FALSE)</f>
        <v>07h</v>
      </c>
      <c r="D152" s="8" t="str">
        <f>GenererenScenarios!$B$3</f>
        <v>P_S1_PL</v>
      </c>
      <c r="E152" s="8" t="str">
        <f>GenererenScenarios!$C$3</f>
        <v>Pleistoceen</v>
      </c>
      <c r="F152" s="26">
        <v>0.5</v>
      </c>
      <c r="G152" s="29">
        <f>VLOOKUP($C152,DataDijkvakken!$B:$G,2,FALSE)</f>
        <v>1.9148900000000002</v>
      </c>
      <c r="H152" s="7"/>
      <c r="I152" s="7"/>
      <c r="J152" s="29">
        <v>-7</v>
      </c>
      <c r="K152" s="29">
        <f t="shared" si="18"/>
        <v>8.9148899999999998</v>
      </c>
      <c r="L152" s="7">
        <v>0</v>
      </c>
      <c r="M152" s="29">
        <f>IF(Ondergrondscenarios[[#This Row],[Scenariotype '[-']]]="Tussenzandlaag",0,VLOOKUP($C152,DataDijkvakken[#All],4,FALSE))</f>
        <v>43</v>
      </c>
      <c r="N152" s="29">
        <f t="shared" si="19"/>
        <v>43</v>
      </c>
      <c r="O152" s="29">
        <f>VLOOKUP($C152,DataDijkvakken!$B:$G,5,FALSE)</f>
        <v>15</v>
      </c>
      <c r="P152" s="29">
        <f>VLOOKUP($C152,DataDijkvakken!$B:$G,6,FALSE)</f>
        <v>35.174418604651166</v>
      </c>
      <c r="Q152" s="29">
        <f t="shared" si="20"/>
        <v>35.174418604651166</v>
      </c>
      <c r="R152" s="7">
        <v>1512.5000000000002</v>
      </c>
      <c r="S152" s="27"/>
      <c r="T152" s="32">
        <f t="shared" si="21"/>
        <v>0</v>
      </c>
      <c r="U152" s="27"/>
      <c r="V152">
        <f t="shared" si="22"/>
        <v>756.48899999999992</v>
      </c>
      <c r="W152" s="31">
        <f t="shared" si="23"/>
        <v>1069.6679917151864</v>
      </c>
      <c r="X152" s="33"/>
      <c r="Y152">
        <f>IF(Ondergrondscenarios[[#This Row],[Scenariotype '[-']]]="-","",IF(Ondergrondscenarios[[#This Row],[Scenariotype '[-']]]="Pleistoceen",VLOOKUP(Ondergrondscenarios[[#This Row],[Vaknaam '[-']]],DataDijkvakken[#All],8,FALSE),VLOOKUP(Ondergrondscenarios[[#This Row],[Vaknaam '[-']]],DataDijkvakken[#All],7,FALSE)))</f>
        <v>3.5000000000000005E-4</v>
      </c>
      <c r="Z152">
        <f>VLOOKUP($C152,DataDijkvakken[#All],3,FALSE)</f>
        <v>18</v>
      </c>
      <c r="AA152" s="8"/>
    </row>
    <row r="153" spans="1:27" x14ac:dyDescent="0.3">
      <c r="A153">
        <f>IFERROR(IF(Ondergrondscenarios[[#This Row],[Scenarionaam '[-']]]="","",A152+1),1)</f>
        <v>152</v>
      </c>
      <c r="B153">
        <f>A157/6</f>
        <v>26</v>
      </c>
      <c r="C153" t="str">
        <f>VLOOKUP(Ondergrondscenarios[[#This Row],[VakID '[-']]],DataDijkvakken!A:I,2,FALSE)</f>
        <v>07h</v>
      </c>
      <c r="D153" s="8" t="str">
        <f>GenererenScenarios!$B$4</f>
        <v>P_S2_HL_F</v>
      </c>
      <c r="E153" s="8" t="str">
        <f>GenererenScenarios!$C$4</f>
        <v>Holoceen</v>
      </c>
      <c r="F153" s="26">
        <v>0.5</v>
      </c>
      <c r="G153" s="29">
        <f>VLOOKUP($C153,DataDijkvakken!$B:$G,2,FALSE)</f>
        <v>1.9148900000000002</v>
      </c>
      <c r="H153" s="7"/>
      <c r="I153" s="7"/>
      <c r="J153" s="29">
        <v>-5.5</v>
      </c>
      <c r="K153" s="29">
        <f t="shared" si="18"/>
        <v>7.4148899999999998</v>
      </c>
      <c r="L153" s="7">
        <v>2.5</v>
      </c>
      <c r="M153" s="29">
        <f>IF(Ondergrondscenarios[[#This Row],[Scenariotype '[-']]]="Tussenzandlaag",0,VLOOKUP($C153,DataDijkvakken[#All],4,FALSE))</f>
        <v>43</v>
      </c>
      <c r="N153" s="29">
        <f t="shared" si="19"/>
        <v>45.5</v>
      </c>
      <c r="O153" s="29">
        <f>VLOOKUP($C153,DataDijkvakken!$B:$G,5,FALSE)</f>
        <v>15</v>
      </c>
      <c r="P153" s="29">
        <f>VLOOKUP($C153,DataDijkvakken!$B:$G,6,FALSE)</f>
        <v>35.174418604651166</v>
      </c>
      <c r="Q153" s="29">
        <f t="shared" si="20"/>
        <v>34.065934065934073</v>
      </c>
      <c r="R153" s="7">
        <v>1550.0000000000002</v>
      </c>
      <c r="S153" s="27"/>
      <c r="T153" s="32">
        <f t="shared" si="21"/>
        <v>0</v>
      </c>
      <c r="U153" s="27"/>
      <c r="V153">
        <f t="shared" si="22"/>
        <v>606.48899999999992</v>
      </c>
      <c r="W153" s="31">
        <f t="shared" si="23"/>
        <v>969.56585645328914</v>
      </c>
      <c r="X153" s="33"/>
      <c r="Y153">
        <f>IF(Ondergrondscenarios[[#This Row],[Scenariotype '[-']]]="-","",IF(Ondergrondscenarios[[#This Row],[Scenariotype '[-']]]="Pleistoceen",VLOOKUP(Ondergrondscenarios[[#This Row],[Vaknaam '[-']]],DataDijkvakken[#All],8,FALSE),VLOOKUP(Ondergrondscenarios[[#This Row],[Vaknaam '[-']]],DataDijkvakken[#All],7,FALSE)))</f>
        <v>2.5999999999999998E-4</v>
      </c>
      <c r="Z153">
        <f>VLOOKUP($C153,DataDijkvakken[#All],3,FALSE)</f>
        <v>18</v>
      </c>
      <c r="AA153" s="8"/>
    </row>
    <row r="154" spans="1:27" x14ac:dyDescent="0.3">
      <c r="A154">
        <f>IFERROR(IF(Ondergrondscenarios[[#This Row],[Scenarionaam '[-']]]="","",A153+1),1)</f>
        <v>153</v>
      </c>
      <c r="B154">
        <f>A157/6</f>
        <v>26</v>
      </c>
      <c r="C154" t="str">
        <f>VLOOKUP(Ondergrondscenarios[[#This Row],[VakID '[-']]],DataDijkvakken!A:I,2,FALSE)</f>
        <v>07h</v>
      </c>
      <c r="D154" s="8" t="str">
        <f>GenererenScenarios!$B$5</f>
        <v>P_S3_HL_TZ</v>
      </c>
      <c r="E154" s="8" t="str">
        <f>GenererenScenarios!$C$5</f>
        <v>Tussenzandlaag</v>
      </c>
      <c r="F154" s="26">
        <v>0</v>
      </c>
      <c r="G154" s="29">
        <f>VLOOKUP($C154,DataDijkvakken!$B:$G,2,FALSE)</f>
        <v>1.9148900000000002</v>
      </c>
      <c r="H154" s="7"/>
      <c r="I154" s="7"/>
      <c r="J154" s="29"/>
      <c r="K154" s="29">
        <f t="shared" si="18"/>
        <v>1.9148900000000002</v>
      </c>
      <c r="L154" s="7"/>
      <c r="M154" s="29">
        <f>IF(Ondergrondscenarios[[#This Row],[Scenariotype '[-']]]="Tussenzandlaag",0,VLOOKUP($C154,DataDijkvakken[#All],4,FALSE))</f>
        <v>0</v>
      </c>
      <c r="N154" s="29">
        <f t="shared" si="19"/>
        <v>0.1</v>
      </c>
      <c r="O154" s="29">
        <f>VLOOKUP($C154,DataDijkvakken!$B:$G,5,FALSE)</f>
        <v>15</v>
      </c>
      <c r="P154" s="29">
        <f>VLOOKUP($C154,DataDijkvakken!$B:$G,6,FALSE)</f>
        <v>35.174418604651166</v>
      </c>
      <c r="Q154" s="29">
        <f t="shared" si="20"/>
        <v>0.1</v>
      </c>
      <c r="R154" s="7">
        <v>1.0000000000000002E-2</v>
      </c>
      <c r="S154" s="27"/>
      <c r="T154" s="32">
        <f t="shared" si="21"/>
        <v>0</v>
      </c>
      <c r="U154" s="27"/>
      <c r="V154">
        <f t="shared" si="22"/>
        <v>56.489000000000019</v>
      </c>
      <c r="W154" s="31">
        <f t="shared" si="23"/>
        <v>0.75159164444530668</v>
      </c>
      <c r="X154" s="33"/>
      <c r="Y154">
        <f>IF(Ondergrondscenarios[[#This Row],[Scenariotype '[-']]]="-","",IF(Ondergrondscenarios[[#This Row],[Scenariotype '[-']]]="Pleistoceen",VLOOKUP(Ondergrondscenarios[[#This Row],[Vaknaam '[-']]],DataDijkvakken[#All],8,FALSE),VLOOKUP(Ondergrondscenarios[[#This Row],[Vaknaam '[-']]],DataDijkvakken[#All],7,FALSE)))</f>
        <v>2.5999999999999998E-4</v>
      </c>
      <c r="Z154">
        <f>VLOOKUP($C154,DataDijkvakken[#All],3,FALSE)</f>
        <v>18</v>
      </c>
      <c r="AA154" s="8"/>
    </row>
    <row r="155" spans="1:27" x14ac:dyDescent="0.3">
      <c r="A155">
        <f>IFERROR(IF(Ondergrondscenarios[[#This Row],[Scenarionaam '[-']]]="","",A154+1),1)</f>
        <v>154</v>
      </c>
      <c r="B155">
        <f>A157/6</f>
        <v>26</v>
      </c>
      <c r="C155" t="str">
        <f>VLOOKUP(Ondergrondscenarios[[#This Row],[VakID '[-']]],DataDijkvakken!A:I,2,FALSE)</f>
        <v>07h</v>
      </c>
      <c r="D155" s="8" t="str">
        <f>GenererenScenarios!$B$6</f>
        <v>P_S4</v>
      </c>
      <c r="E155" s="8" t="str">
        <f>GenererenScenarios!$C$6</f>
        <v>-</v>
      </c>
      <c r="F155" s="26">
        <v>0</v>
      </c>
      <c r="G155" s="29">
        <f>VLOOKUP($C155,DataDijkvakken!$B:$G,2,FALSE)</f>
        <v>1.9148900000000002</v>
      </c>
      <c r="H155" s="7"/>
      <c r="I155" s="7"/>
      <c r="J155" s="29"/>
      <c r="K155" s="29">
        <f t="shared" si="18"/>
        <v>1.9148900000000002</v>
      </c>
      <c r="L155" s="7"/>
      <c r="M155" s="29">
        <f>IF(Ondergrondscenarios[[#This Row],[Scenariotype '[-']]]="Tussenzandlaag",0,VLOOKUP($C155,DataDijkvakken[#All],4,FALSE))</f>
        <v>43</v>
      </c>
      <c r="N155" s="29">
        <f t="shared" si="19"/>
        <v>43</v>
      </c>
      <c r="O155" s="29">
        <f>VLOOKUP($C155,DataDijkvakken!$B:$G,5,FALSE)</f>
        <v>15</v>
      </c>
      <c r="P155" s="29">
        <f>VLOOKUP($C155,DataDijkvakken!$B:$G,6,FALSE)</f>
        <v>35.174418604651166</v>
      </c>
      <c r="Q155" s="29">
        <f t="shared" si="20"/>
        <v>35.174418604651166</v>
      </c>
      <c r="R155" s="7">
        <v>1512.5000000000002</v>
      </c>
      <c r="S155" s="27"/>
      <c r="T155" s="32">
        <f t="shared" si="21"/>
        <v>0</v>
      </c>
      <c r="U155" s="27"/>
      <c r="V155">
        <f t="shared" si="22"/>
        <v>56.489000000000019</v>
      </c>
      <c r="W155" s="31">
        <f t="shared" si="23"/>
        <v>292.3005516587337</v>
      </c>
      <c r="X155" s="33"/>
      <c r="Y155" t="str">
        <f>IF(Ondergrondscenarios[[#This Row],[Scenariotype '[-']]]="-","",IF(Ondergrondscenarios[[#This Row],[Scenariotype '[-']]]="Pleistoceen",VLOOKUP(Ondergrondscenarios[[#This Row],[Vaknaam '[-']]],DataDijkvakken[#All],8,FALSE),VLOOKUP(Ondergrondscenarios[[#This Row],[Vaknaam '[-']]],DataDijkvakken[#All],7,FALSE)))</f>
        <v/>
      </c>
      <c r="Z155">
        <f>VLOOKUP($C155,DataDijkvakken[#All],3,FALSE)</f>
        <v>18</v>
      </c>
      <c r="AA155" s="8"/>
    </row>
    <row r="156" spans="1:27" x14ac:dyDescent="0.3">
      <c r="A156">
        <f>IFERROR(IF(Ondergrondscenarios[[#This Row],[Scenarionaam '[-']]]="","",A155+1),1)</f>
        <v>155</v>
      </c>
      <c r="B156">
        <f>A157/6</f>
        <v>26</v>
      </c>
      <c r="C156" t="str">
        <f>VLOOKUP(Ondergrondscenarios[[#This Row],[VakID '[-']]],DataDijkvakken!A:I,2,FALSE)</f>
        <v>07h</v>
      </c>
      <c r="D156" s="8" t="str">
        <f>GenererenScenarios!$B$7</f>
        <v>P_S5</v>
      </c>
      <c r="E156" s="8" t="str">
        <f>GenererenScenarios!$C$7</f>
        <v>-</v>
      </c>
      <c r="F156" s="26">
        <v>0</v>
      </c>
      <c r="G156" s="29">
        <f>VLOOKUP($C156,DataDijkvakken!$B:$G,2,FALSE)</f>
        <v>1.9148900000000002</v>
      </c>
      <c r="H156" s="7"/>
      <c r="I156" s="7"/>
      <c r="J156" s="29"/>
      <c r="K156" s="29">
        <f t="shared" si="18"/>
        <v>1.9148900000000002</v>
      </c>
      <c r="L156" s="7"/>
      <c r="M156" s="29">
        <f>IF(Ondergrondscenarios[[#This Row],[Scenariotype '[-']]]="Tussenzandlaag",0,VLOOKUP($C156,DataDijkvakken[#All],4,FALSE))</f>
        <v>43</v>
      </c>
      <c r="N156" s="29">
        <f t="shared" si="19"/>
        <v>43</v>
      </c>
      <c r="O156" s="29">
        <f>VLOOKUP($C156,DataDijkvakken!$B:$G,5,FALSE)</f>
        <v>15</v>
      </c>
      <c r="P156" s="29">
        <f>VLOOKUP($C156,DataDijkvakken!$B:$G,6,FALSE)</f>
        <v>35.174418604651166</v>
      </c>
      <c r="Q156" s="29">
        <f t="shared" si="20"/>
        <v>35.174418604651166</v>
      </c>
      <c r="R156" s="7">
        <v>1512.5000000000002</v>
      </c>
      <c r="S156" s="27"/>
      <c r="T156" s="32">
        <f t="shared" si="21"/>
        <v>0</v>
      </c>
      <c r="U156" s="27"/>
      <c r="V156">
        <f t="shared" si="22"/>
        <v>56.489000000000019</v>
      </c>
      <c r="W156" s="31">
        <f t="shared" si="23"/>
        <v>292.3005516587337</v>
      </c>
      <c r="X156" s="33"/>
      <c r="Y156" t="str">
        <f>IF(Ondergrondscenarios[[#This Row],[Scenariotype '[-']]]="-","",IF(Ondergrondscenarios[[#This Row],[Scenariotype '[-']]]="Pleistoceen",VLOOKUP(Ondergrondscenarios[[#This Row],[Vaknaam '[-']]],DataDijkvakken[#All],8,FALSE),VLOOKUP(Ondergrondscenarios[[#This Row],[Vaknaam '[-']]],DataDijkvakken[#All],7,FALSE)))</f>
        <v/>
      </c>
      <c r="Z156">
        <f>VLOOKUP($C156,DataDijkvakken[#All],3,FALSE)</f>
        <v>18</v>
      </c>
      <c r="AA156" s="8"/>
    </row>
    <row r="157" spans="1:27" x14ac:dyDescent="0.3">
      <c r="A157">
        <f>IFERROR(IF(Ondergrondscenarios[[#This Row],[Scenarionaam '[-']]]="","",A156+1),1)</f>
        <v>156</v>
      </c>
      <c r="B157">
        <f>A157/6</f>
        <v>26</v>
      </c>
      <c r="C157" t="str">
        <f>VLOOKUP(Ondergrondscenarios[[#This Row],[VakID '[-']]],DataDijkvakken!A:I,2,FALSE)</f>
        <v>07h</v>
      </c>
      <c r="D157" s="8" t="str">
        <f>GenererenScenarios!$B$8</f>
        <v>P_S6</v>
      </c>
      <c r="E157" s="8" t="str">
        <f>GenererenScenarios!$C$8</f>
        <v>-</v>
      </c>
      <c r="F157" s="26">
        <v>0</v>
      </c>
      <c r="G157" s="29">
        <f>VLOOKUP($C157,DataDijkvakken!$B:$G,2,FALSE)</f>
        <v>1.9148900000000002</v>
      </c>
      <c r="H157" s="7"/>
      <c r="I157" s="7"/>
      <c r="J157" s="29"/>
      <c r="K157" s="29">
        <f t="shared" si="18"/>
        <v>1.9148900000000002</v>
      </c>
      <c r="L157" s="7"/>
      <c r="M157" s="29">
        <f>IF(Ondergrondscenarios[[#This Row],[Scenariotype '[-']]]="Tussenzandlaag",0,VLOOKUP($C157,DataDijkvakken[#All],4,FALSE))</f>
        <v>43</v>
      </c>
      <c r="N157" s="29">
        <f t="shared" si="19"/>
        <v>43</v>
      </c>
      <c r="O157" s="29">
        <f>VLOOKUP($C157,DataDijkvakken!$B:$G,5,FALSE)</f>
        <v>15</v>
      </c>
      <c r="P157" s="29">
        <f>VLOOKUP($C157,DataDijkvakken!$B:$G,6,FALSE)</f>
        <v>35.174418604651166</v>
      </c>
      <c r="Q157" s="29">
        <f t="shared" si="20"/>
        <v>35.174418604651166</v>
      </c>
      <c r="R157" s="7">
        <v>1512.5000000000002</v>
      </c>
      <c r="S157" s="27"/>
      <c r="T157" s="32">
        <f t="shared" si="21"/>
        <v>0</v>
      </c>
      <c r="U157" s="27"/>
      <c r="V157">
        <f t="shared" si="22"/>
        <v>56.489000000000019</v>
      </c>
      <c r="W157" s="31">
        <f t="shared" si="23"/>
        <v>292.3005516587337</v>
      </c>
      <c r="X157" s="33"/>
      <c r="Y157" t="str">
        <f>IF(Ondergrondscenarios[[#This Row],[Scenariotype '[-']]]="-","",IF(Ondergrondscenarios[[#This Row],[Scenariotype '[-']]]="Pleistoceen",VLOOKUP(Ondergrondscenarios[[#This Row],[Vaknaam '[-']]],DataDijkvakken[#All],8,FALSE),VLOOKUP(Ondergrondscenarios[[#This Row],[Vaknaam '[-']]],DataDijkvakken[#All],7,FALSE)))</f>
        <v/>
      </c>
      <c r="Z157">
        <f>VLOOKUP($C157,DataDijkvakken[#All],3,FALSE)</f>
        <v>18</v>
      </c>
      <c r="AA157" s="8"/>
    </row>
    <row r="158" spans="1:27" x14ac:dyDescent="0.3">
      <c r="A158">
        <f>IFERROR(IF(Ondergrondscenarios[[#This Row],[Scenarionaam '[-']]]="","",A157+1),1)</f>
        <v>157</v>
      </c>
      <c r="B158">
        <f>A163/6</f>
        <v>27</v>
      </c>
      <c r="C158" t="str">
        <f>VLOOKUP(Ondergrondscenarios[[#This Row],[VakID '[-']]],DataDijkvakken!A:I,2,FALSE)</f>
        <v>07i</v>
      </c>
      <c r="D158" s="8" t="str">
        <f>GenererenScenarios!$B$3</f>
        <v>P_S1_PL</v>
      </c>
      <c r="E158" s="8" t="str">
        <f>GenererenScenarios!$C$3</f>
        <v>Pleistoceen</v>
      </c>
      <c r="F158" s="26">
        <v>1</v>
      </c>
      <c r="G158" s="29">
        <f>VLOOKUP($C158,DataDijkvakken!$B:$G,2,FALSE)</f>
        <v>2.3195156666666668</v>
      </c>
      <c r="H158" s="7"/>
      <c r="I158" s="7"/>
      <c r="J158" s="29">
        <v>-6</v>
      </c>
      <c r="K158" s="29">
        <f t="shared" si="18"/>
        <v>8.3195156666666676</v>
      </c>
      <c r="L158" s="7">
        <v>0</v>
      </c>
      <c r="M158" s="29">
        <f>IF(Ondergrondscenarios[[#This Row],[Scenariotype '[-']]]="Tussenzandlaag",0,VLOOKUP($C158,DataDijkvakken[#All],4,FALSE))</f>
        <v>43</v>
      </c>
      <c r="N158" s="29">
        <f t="shared" si="19"/>
        <v>43</v>
      </c>
      <c r="O158" s="29">
        <f>VLOOKUP($C158,DataDijkvakken!$B:$G,5,FALSE)</f>
        <v>15</v>
      </c>
      <c r="P158" s="29">
        <f>VLOOKUP($C158,DataDijkvakken!$B:$G,6,FALSE)</f>
        <v>35.174418604651166</v>
      </c>
      <c r="Q158" s="29">
        <f t="shared" si="20"/>
        <v>35.174418604651166</v>
      </c>
      <c r="R158" s="7">
        <v>1512.5000000000002</v>
      </c>
      <c r="S158" s="27"/>
      <c r="T158" s="32">
        <f t="shared" si="21"/>
        <v>0</v>
      </c>
      <c r="U158" s="27"/>
      <c r="V158">
        <f t="shared" si="22"/>
        <v>696.95156666666674</v>
      </c>
      <c r="W158" s="31">
        <f t="shared" si="23"/>
        <v>1026.712834527422</v>
      </c>
      <c r="X158" s="33"/>
      <c r="Y158">
        <f>IF(Ondergrondscenarios[[#This Row],[Scenariotype '[-']]]="-","",IF(Ondergrondscenarios[[#This Row],[Scenariotype '[-']]]="Pleistoceen",VLOOKUP(Ondergrondscenarios[[#This Row],[Vaknaam '[-']]],DataDijkvakken[#All],8,FALSE),VLOOKUP(Ondergrondscenarios[[#This Row],[Vaknaam '[-']]],DataDijkvakken[#All],7,FALSE)))</f>
        <v>3.5000000000000005E-4</v>
      </c>
      <c r="Z158">
        <f>VLOOKUP($C158,DataDijkvakken[#All],3,FALSE)</f>
        <v>18</v>
      </c>
      <c r="AA158" s="8"/>
    </row>
    <row r="159" spans="1:27" x14ac:dyDescent="0.3">
      <c r="A159">
        <f>IFERROR(IF(Ondergrondscenarios[[#This Row],[Scenarionaam '[-']]]="","",A158+1),1)</f>
        <v>158</v>
      </c>
      <c r="B159">
        <f>A163/6</f>
        <v>27</v>
      </c>
      <c r="C159" t="str">
        <f>VLOOKUP(Ondergrondscenarios[[#This Row],[VakID '[-']]],DataDijkvakken!A:I,2,FALSE)</f>
        <v>07i</v>
      </c>
      <c r="D159" s="8" t="str">
        <f>GenererenScenarios!$B$4</f>
        <v>P_S2_HL_F</v>
      </c>
      <c r="E159" s="8" t="str">
        <f>GenererenScenarios!$C$4</f>
        <v>Holoceen</v>
      </c>
      <c r="F159" s="26">
        <v>0</v>
      </c>
      <c r="G159" s="29">
        <f>VLOOKUP($C159,DataDijkvakken!$B:$G,2,FALSE)</f>
        <v>2.3195156666666668</v>
      </c>
      <c r="H159" s="7"/>
      <c r="I159" s="7"/>
      <c r="J159" s="29"/>
      <c r="K159" s="29">
        <f t="shared" si="18"/>
        <v>2.3195156666666668</v>
      </c>
      <c r="L159" s="7"/>
      <c r="M159" s="29">
        <f>IF(Ondergrondscenarios[[#This Row],[Scenariotype '[-']]]="Tussenzandlaag",0,VLOOKUP($C159,DataDijkvakken[#All],4,FALSE))</f>
        <v>43</v>
      </c>
      <c r="N159" s="29">
        <f t="shared" si="19"/>
        <v>43</v>
      </c>
      <c r="O159" s="29">
        <f>VLOOKUP($C159,DataDijkvakken!$B:$G,5,FALSE)</f>
        <v>15</v>
      </c>
      <c r="P159" s="29">
        <f>VLOOKUP($C159,DataDijkvakken!$B:$G,6,FALSE)</f>
        <v>35.174418604651166</v>
      </c>
      <c r="Q159" s="29">
        <f t="shared" si="20"/>
        <v>35.174418604651166</v>
      </c>
      <c r="R159" s="7">
        <v>1512.5000000000002</v>
      </c>
      <c r="S159" s="27"/>
      <c r="T159" s="32">
        <f t="shared" si="21"/>
        <v>0</v>
      </c>
      <c r="U159" s="27"/>
      <c r="V159">
        <f t="shared" si="22"/>
        <v>96.951566666666679</v>
      </c>
      <c r="W159" s="31">
        <f t="shared" si="23"/>
        <v>382.93503963901418</v>
      </c>
      <c r="X159" s="33"/>
      <c r="Y159">
        <f>IF(Ondergrondscenarios[[#This Row],[Scenariotype '[-']]]="-","",IF(Ondergrondscenarios[[#This Row],[Scenariotype '[-']]]="Pleistoceen",VLOOKUP(Ondergrondscenarios[[#This Row],[Vaknaam '[-']]],DataDijkvakken[#All],8,FALSE),VLOOKUP(Ondergrondscenarios[[#This Row],[Vaknaam '[-']]],DataDijkvakken[#All],7,FALSE)))</f>
        <v>2.5999999999999998E-4</v>
      </c>
      <c r="Z159">
        <f>VLOOKUP($C159,DataDijkvakken[#All],3,FALSE)</f>
        <v>18</v>
      </c>
      <c r="AA159" s="8"/>
    </row>
    <row r="160" spans="1:27" x14ac:dyDescent="0.3">
      <c r="A160">
        <f>IFERROR(IF(Ondergrondscenarios[[#This Row],[Scenarionaam '[-']]]="","",A159+1),1)</f>
        <v>159</v>
      </c>
      <c r="B160">
        <f>A163/6</f>
        <v>27</v>
      </c>
      <c r="C160" t="str">
        <f>VLOOKUP(Ondergrondscenarios[[#This Row],[VakID '[-']]],DataDijkvakken!A:I,2,FALSE)</f>
        <v>07i</v>
      </c>
      <c r="D160" s="8" t="str">
        <f>GenererenScenarios!$B$5</f>
        <v>P_S3_HL_TZ</v>
      </c>
      <c r="E160" s="8" t="str">
        <f>GenererenScenarios!$C$5</f>
        <v>Tussenzandlaag</v>
      </c>
      <c r="F160" s="26">
        <v>0</v>
      </c>
      <c r="G160" s="29">
        <f>VLOOKUP($C160,DataDijkvakken!$B:$G,2,FALSE)</f>
        <v>2.3195156666666668</v>
      </c>
      <c r="H160" s="7"/>
      <c r="I160" s="7"/>
      <c r="J160" s="29"/>
      <c r="K160" s="29">
        <f t="shared" si="18"/>
        <v>2.3195156666666668</v>
      </c>
      <c r="L160" s="7"/>
      <c r="M160" s="29">
        <f>IF(Ondergrondscenarios[[#This Row],[Scenariotype '[-']]]="Tussenzandlaag",0,VLOOKUP($C160,DataDijkvakken[#All],4,FALSE))</f>
        <v>0</v>
      </c>
      <c r="N160" s="29">
        <f t="shared" si="19"/>
        <v>0.1</v>
      </c>
      <c r="O160" s="29">
        <f>VLOOKUP($C160,DataDijkvakken!$B:$G,5,FALSE)</f>
        <v>15</v>
      </c>
      <c r="P160" s="29">
        <f>VLOOKUP($C160,DataDijkvakken!$B:$G,6,FALSE)</f>
        <v>35.174418604651166</v>
      </c>
      <c r="Q160" s="29">
        <f t="shared" si="20"/>
        <v>0.1</v>
      </c>
      <c r="R160" s="7">
        <v>1.0000000000000002E-2</v>
      </c>
      <c r="S160" s="27"/>
      <c r="T160" s="32">
        <f t="shared" si="21"/>
        <v>0</v>
      </c>
      <c r="U160" s="27"/>
      <c r="V160">
        <f t="shared" si="22"/>
        <v>96.951566666666679</v>
      </c>
      <c r="W160" s="31">
        <f t="shared" si="23"/>
        <v>0.98463986648249568</v>
      </c>
      <c r="X160" s="33"/>
      <c r="Y160">
        <f>IF(Ondergrondscenarios[[#This Row],[Scenariotype '[-']]]="-","",IF(Ondergrondscenarios[[#This Row],[Scenariotype '[-']]]="Pleistoceen",VLOOKUP(Ondergrondscenarios[[#This Row],[Vaknaam '[-']]],DataDijkvakken[#All],8,FALSE),VLOOKUP(Ondergrondscenarios[[#This Row],[Vaknaam '[-']]],DataDijkvakken[#All],7,FALSE)))</f>
        <v>2.5999999999999998E-4</v>
      </c>
      <c r="Z160">
        <f>VLOOKUP($C160,DataDijkvakken[#All],3,FALSE)</f>
        <v>18</v>
      </c>
      <c r="AA160" s="8"/>
    </row>
    <row r="161" spans="1:27" x14ac:dyDescent="0.3">
      <c r="A161">
        <f>IFERROR(IF(Ondergrondscenarios[[#This Row],[Scenarionaam '[-']]]="","",A160+1),1)</f>
        <v>160</v>
      </c>
      <c r="B161">
        <f>A163/6</f>
        <v>27</v>
      </c>
      <c r="C161" t="str">
        <f>VLOOKUP(Ondergrondscenarios[[#This Row],[VakID '[-']]],DataDijkvakken!A:I,2,FALSE)</f>
        <v>07i</v>
      </c>
      <c r="D161" s="8" t="str">
        <f>GenererenScenarios!$B$6</f>
        <v>P_S4</v>
      </c>
      <c r="E161" s="8" t="str">
        <f>GenererenScenarios!$C$6</f>
        <v>-</v>
      </c>
      <c r="F161" s="26">
        <v>0</v>
      </c>
      <c r="G161" s="29">
        <f>VLOOKUP($C161,DataDijkvakken!$B:$G,2,FALSE)</f>
        <v>2.3195156666666668</v>
      </c>
      <c r="H161" s="7"/>
      <c r="I161" s="7"/>
      <c r="J161" s="29"/>
      <c r="K161" s="29">
        <f t="shared" si="18"/>
        <v>2.3195156666666668</v>
      </c>
      <c r="L161" s="7"/>
      <c r="M161" s="29">
        <f>IF(Ondergrondscenarios[[#This Row],[Scenariotype '[-']]]="Tussenzandlaag",0,VLOOKUP($C161,DataDijkvakken[#All],4,FALSE))</f>
        <v>43</v>
      </c>
      <c r="N161" s="29">
        <f t="shared" si="19"/>
        <v>43</v>
      </c>
      <c r="O161" s="29">
        <f>VLOOKUP($C161,DataDijkvakken!$B:$G,5,FALSE)</f>
        <v>15</v>
      </c>
      <c r="P161" s="29">
        <f>VLOOKUP($C161,DataDijkvakken!$B:$G,6,FALSE)</f>
        <v>35.174418604651166</v>
      </c>
      <c r="Q161" s="29">
        <f t="shared" si="20"/>
        <v>35.174418604651166</v>
      </c>
      <c r="R161" s="7">
        <v>1512.5000000000002</v>
      </c>
      <c r="S161" s="27"/>
      <c r="T161" s="32">
        <f t="shared" si="21"/>
        <v>0</v>
      </c>
      <c r="U161" s="27"/>
      <c r="V161">
        <f t="shared" si="22"/>
        <v>96.951566666666679</v>
      </c>
      <c r="W161" s="31">
        <f t="shared" si="23"/>
        <v>382.93503963901418</v>
      </c>
      <c r="X161" s="33"/>
      <c r="Y161" t="str">
        <f>IF(Ondergrondscenarios[[#This Row],[Scenariotype '[-']]]="-","",IF(Ondergrondscenarios[[#This Row],[Scenariotype '[-']]]="Pleistoceen",VLOOKUP(Ondergrondscenarios[[#This Row],[Vaknaam '[-']]],DataDijkvakken[#All],8,FALSE),VLOOKUP(Ondergrondscenarios[[#This Row],[Vaknaam '[-']]],DataDijkvakken[#All],7,FALSE)))</f>
        <v/>
      </c>
      <c r="Z161">
        <f>VLOOKUP($C161,DataDijkvakken[#All],3,FALSE)</f>
        <v>18</v>
      </c>
      <c r="AA161" s="8"/>
    </row>
    <row r="162" spans="1:27" x14ac:dyDescent="0.3">
      <c r="A162">
        <f>IFERROR(IF(Ondergrondscenarios[[#This Row],[Scenarionaam '[-']]]="","",A161+1),1)</f>
        <v>161</v>
      </c>
      <c r="B162">
        <f>A163/6</f>
        <v>27</v>
      </c>
      <c r="C162" t="str">
        <f>VLOOKUP(Ondergrondscenarios[[#This Row],[VakID '[-']]],DataDijkvakken!A:I,2,FALSE)</f>
        <v>07i</v>
      </c>
      <c r="D162" s="8" t="str">
        <f>GenererenScenarios!$B$7</f>
        <v>P_S5</v>
      </c>
      <c r="E162" s="8" t="str">
        <f>GenererenScenarios!$C$7</f>
        <v>-</v>
      </c>
      <c r="F162" s="26">
        <v>0</v>
      </c>
      <c r="G162" s="29">
        <f>VLOOKUP($C162,DataDijkvakken!$B:$G,2,FALSE)</f>
        <v>2.3195156666666668</v>
      </c>
      <c r="H162" s="7"/>
      <c r="I162" s="7"/>
      <c r="J162" s="29"/>
      <c r="K162" s="29">
        <f t="shared" si="18"/>
        <v>2.3195156666666668</v>
      </c>
      <c r="L162" s="7"/>
      <c r="M162" s="29">
        <f>IF(Ondergrondscenarios[[#This Row],[Scenariotype '[-']]]="Tussenzandlaag",0,VLOOKUP($C162,DataDijkvakken[#All],4,FALSE))</f>
        <v>43</v>
      </c>
      <c r="N162" s="29">
        <f t="shared" si="19"/>
        <v>43</v>
      </c>
      <c r="O162" s="29">
        <f>VLOOKUP($C162,DataDijkvakken!$B:$G,5,FALSE)</f>
        <v>15</v>
      </c>
      <c r="P162" s="29">
        <f>VLOOKUP($C162,DataDijkvakken!$B:$G,6,FALSE)</f>
        <v>35.174418604651166</v>
      </c>
      <c r="Q162" s="29">
        <f t="shared" si="20"/>
        <v>35.174418604651166</v>
      </c>
      <c r="R162" s="7">
        <v>1512.5000000000002</v>
      </c>
      <c r="S162" s="27"/>
      <c r="T162" s="32">
        <f t="shared" si="21"/>
        <v>0</v>
      </c>
      <c r="U162" s="27"/>
      <c r="V162">
        <f t="shared" si="22"/>
        <v>96.951566666666679</v>
      </c>
      <c r="W162" s="31">
        <f t="shared" si="23"/>
        <v>382.93503963901418</v>
      </c>
      <c r="X162" s="33"/>
      <c r="Y162" t="str">
        <f>IF(Ondergrondscenarios[[#This Row],[Scenariotype '[-']]]="-","",IF(Ondergrondscenarios[[#This Row],[Scenariotype '[-']]]="Pleistoceen",VLOOKUP(Ondergrondscenarios[[#This Row],[Vaknaam '[-']]],DataDijkvakken[#All],8,FALSE),VLOOKUP(Ondergrondscenarios[[#This Row],[Vaknaam '[-']]],DataDijkvakken[#All],7,FALSE)))</f>
        <v/>
      </c>
      <c r="Z162">
        <f>VLOOKUP($C162,DataDijkvakken[#All],3,FALSE)</f>
        <v>18</v>
      </c>
      <c r="AA162" s="8"/>
    </row>
    <row r="163" spans="1:27" x14ac:dyDescent="0.3">
      <c r="A163">
        <f>IFERROR(IF(Ondergrondscenarios[[#This Row],[Scenarionaam '[-']]]="","",A162+1),1)</f>
        <v>162</v>
      </c>
      <c r="B163">
        <f>A163/6</f>
        <v>27</v>
      </c>
      <c r="C163" t="str">
        <f>VLOOKUP(Ondergrondscenarios[[#This Row],[VakID '[-']]],DataDijkvakken!A:I,2,FALSE)</f>
        <v>07i</v>
      </c>
      <c r="D163" s="8" t="str">
        <f>GenererenScenarios!$B$8</f>
        <v>P_S6</v>
      </c>
      <c r="E163" s="8" t="str">
        <f>GenererenScenarios!$C$8</f>
        <v>-</v>
      </c>
      <c r="F163" s="26">
        <v>0</v>
      </c>
      <c r="G163" s="29">
        <f>VLOOKUP($C163,DataDijkvakken!$B:$G,2,FALSE)</f>
        <v>2.3195156666666668</v>
      </c>
      <c r="H163" s="7"/>
      <c r="I163" s="7"/>
      <c r="J163" s="29"/>
      <c r="K163" s="29">
        <f t="shared" si="18"/>
        <v>2.3195156666666668</v>
      </c>
      <c r="L163" s="7"/>
      <c r="M163" s="29">
        <f>IF(Ondergrondscenarios[[#This Row],[Scenariotype '[-']]]="Tussenzandlaag",0,VLOOKUP($C163,DataDijkvakken[#All],4,FALSE))</f>
        <v>43</v>
      </c>
      <c r="N163" s="29">
        <f t="shared" si="19"/>
        <v>43</v>
      </c>
      <c r="O163" s="29">
        <f>VLOOKUP($C163,DataDijkvakken!$B:$G,5,FALSE)</f>
        <v>15</v>
      </c>
      <c r="P163" s="29">
        <f>VLOOKUP($C163,DataDijkvakken!$B:$G,6,FALSE)</f>
        <v>35.174418604651166</v>
      </c>
      <c r="Q163" s="29">
        <f t="shared" si="20"/>
        <v>35.174418604651166</v>
      </c>
      <c r="R163" s="7">
        <v>1512.5000000000002</v>
      </c>
      <c r="S163" s="27"/>
      <c r="T163" s="32">
        <f t="shared" si="21"/>
        <v>0</v>
      </c>
      <c r="U163" s="27"/>
      <c r="V163">
        <f t="shared" si="22"/>
        <v>96.951566666666679</v>
      </c>
      <c r="W163" s="31">
        <f t="shared" si="23"/>
        <v>382.93503963901418</v>
      </c>
      <c r="X163" s="33"/>
      <c r="Y163" t="str">
        <f>IF(Ondergrondscenarios[[#This Row],[Scenariotype '[-']]]="-","",IF(Ondergrondscenarios[[#This Row],[Scenariotype '[-']]]="Pleistoceen",VLOOKUP(Ondergrondscenarios[[#This Row],[Vaknaam '[-']]],DataDijkvakken[#All],8,FALSE),VLOOKUP(Ondergrondscenarios[[#This Row],[Vaknaam '[-']]],DataDijkvakken[#All],7,FALSE)))</f>
        <v/>
      </c>
      <c r="Z163">
        <f>VLOOKUP($C163,DataDijkvakken[#All],3,FALSE)</f>
        <v>18</v>
      </c>
      <c r="AA163" s="8"/>
    </row>
    <row r="164" spans="1:27" x14ac:dyDescent="0.3">
      <c r="A164">
        <f>IFERROR(IF(Ondergrondscenarios[[#This Row],[Scenarionaam '[-']]]="","",A163+1),1)</f>
        <v>163</v>
      </c>
      <c r="B164">
        <f>A169/6</f>
        <v>28</v>
      </c>
      <c r="C164" t="str">
        <f>VLOOKUP(Ondergrondscenarios[[#This Row],[VakID '[-']]],DataDijkvakken!A:I,2,FALSE)</f>
        <v>07j</v>
      </c>
      <c r="D164" s="8" t="str">
        <f>GenererenScenarios!$B$3</f>
        <v>P_S1_PL</v>
      </c>
      <c r="E164" s="8" t="str">
        <f>GenererenScenarios!$C$3</f>
        <v>Pleistoceen</v>
      </c>
      <c r="F164" s="26">
        <v>0.9</v>
      </c>
      <c r="G164" s="29">
        <f>VLOOKUP($C164,DataDijkvakken!$B:$G,2,FALSE)</f>
        <v>2.5046870000000001</v>
      </c>
      <c r="H164" s="7"/>
      <c r="I164" s="7"/>
      <c r="J164" s="29">
        <v>-6.5</v>
      </c>
      <c r="K164" s="29">
        <f t="shared" si="18"/>
        <v>9.0046870000000006</v>
      </c>
      <c r="L164" s="7">
        <v>0</v>
      </c>
      <c r="M164" s="29">
        <f>IF(Ondergrondscenarios[[#This Row],[Scenariotype '[-']]]="Tussenzandlaag",0,VLOOKUP($C164,DataDijkvakken[#All],4,FALSE))</f>
        <v>43</v>
      </c>
      <c r="N164" s="29">
        <f t="shared" si="19"/>
        <v>43</v>
      </c>
      <c r="O164" s="29">
        <f>VLOOKUP($C164,DataDijkvakken!$B:$G,5,FALSE)</f>
        <v>15</v>
      </c>
      <c r="P164" s="29">
        <f>VLOOKUP($C164,DataDijkvakken!$B:$G,6,FALSE)</f>
        <v>35.174418604651166</v>
      </c>
      <c r="Q164" s="29">
        <f t="shared" si="20"/>
        <v>35.174418604651166</v>
      </c>
      <c r="R164" s="7">
        <v>1512.5000000000002</v>
      </c>
      <c r="S164" s="27"/>
      <c r="T164" s="32">
        <f t="shared" si="21"/>
        <v>0</v>
      </c>
      <c r="U164" s="27"/>
      <c r="V164">
        <f t="shared" si="22"/>
        <v>765.46870000000001</v>
      </c>
      <c r="W164" s="31">
        <f t="shared" si="23"/>
        <v>1075.9978665174017</v>
      </c>
      <c r="X164" s="33"/>
      <c r="Y164">
        <f>IF(Ondergrondscenarios[[#This Row],[Scenariotype '[-']]]="-","",IF(Ondergrondscenarios[[#This Row],[Scenariotype '[-']]]="Pleistoceen",VLOOKUP(Ondergrondscenarios[[#This Row],[Vaknaam '[-']]],DataDijkvakken[#All],8,FALSE),VLOOKUP(Ondergrondscenarios[[#This Row],[Vaknaam '[-']]],DataDijkvakken[#All],7,FALSE)))</f>
        <v>3.5000000000000005E-4</v>
      </c>
      <c r="Z164">
        <f>VLOOKUP($C164,DataDijkvakken[#All],3,FALSE)</f>
        <v>18</v>
      </c>
      <c r="AA164" s="8"/>
    </row>
    <row r="165" spans="1:27" x14ac:dyDescent="0.3">
      <c r="A165">
        <f>IFERROR(IF(Ondergrondscenarios[[#This Row],[Scenarionaam '[-']]]="","",A164+1),1)</f>
        <v>164</v>
      </c>
      <c r="B165">
        <f>A169/6</f>
        <v>28</v>
      </c>
      <c r="C165" t="str">
        <f>VLOOKUP(Ondergrondscenarios[[#This Row],[VakID '[-']]],DataDijkvakken!A:I,2,FALSE)</f>
        <v>07j</v>
      </c>
      <c r="D165" s="8" t="str">
        <f>GenererenScenarios!$B$4</f>
        <v>P_S2_HL_F</v>
      </c>
      <c r="E165" s="8" t="str">
        <f>GenererenScenarios!$C$4</f>
        <v>Holoceen</v>
      </c>
      <c r="F165" s="26">
        <v>0.1</v>
      </c>
      <c r="G165" s="29">
        <f>VLOOKUP($C165,DataDijkvakken!$B:$G,2,FALSE)</f>
        <v>2.5046870000000001</v>
      </c>
      <c r="H165" s="7"/>
      <c r="I165" s="7"/>
      <c r="J165" s="29">
        <v>-1</v>
      </c>
      <c r="K165" s="29">
        <f t="shared" si="18"/>
        <v>3.5046870000000001</v>
      </c>
      <c r="L165" s="7">
        <v>5</v>
      </c>
      <c r="M165" s="29">
        <f>IF(Ondergrondscenarios[[#This Row],[Scenariotype '[-']]]="Tussenzandlaag",0,VLOOKUP($C165,DataDijkvakken[#All],4,FALSE))</f>
        <v>43</v>
      </c>
      <c r="N165" s="29">
        <f t="shared" si="19"/>
        <v>48</v>
      </c>
      <c r="O165" s="29">
        <f>VLOOKUP($C165,DataDijkvakken!$B:$G,5,FALSE)</f>
        <v>15</v>
      </c>
      <c r="P165" s="29">
        <f>VLOOKUP($C165,DataDijkvakken!$B:$G,6,FALSE)</f>
        <v>35.174418604651166</v>
      </c>
      <c r="Q165" s="29">
        <f t="shared" si="20"/>
        <v>33.072916666666671</v>
      </c>
      <c r="R165" s="7">
        <v>1587.5000000000002</v>
      </c>
      <c r="S165" s="27"/>
      <c r="T165" s="32">
        <f t="shared" si="21"/>
        <v>0</v>
      </c>
      <c r="U165" s="27"/>
      <c r="V165">
        <f t="shared" si="22"/>
        <v>215.46870000000001</v>
      </c>
      <c r="W165" s="31">
        <f t="shared" si="23"/>
        <v>584.85601753765013</v>
      </c>
      <c r="X165" s="33"/>
      <c r="Y165">
        <f>IF(Ondergrondscenarios[[#This Row],[Scenariotype '[-']]]="-","",IF(Ondergrondscenarios[[#This Row],[Scenariotype '[-']]]="Pleistoceen",VLOOKUP(Ondergrondscenarios[[#This Row],[Vaknaam '[-']]],DataDijkvakken[#All],8,FALSE),VLOOKUP(Ondergrondscenarios[[#This Row],[Vaknaam '[-']]],DataDijkvakken[#All],7,FALSE)))</f>
        <v>2.5999999999999998E-4</v>
      </c>
      <c r="Z165">
        <f>VLOOKUP($C165,DataDijkvakken[#All],3,FALSE)</f>
        <v>18</v>
      </c>
      <c r="AA165" s="8"/>
    </row>
    <row r="166" spans="1:27" x14ac:dyDescent="0.3">
      <c r="A166">
        <f>IFERROR(IF(Ondergrondscenarios[[#This Row],[Scenarionaam '[-']]]="","",A165+1),1)</f>
        <v>165</v>
      </c>
      <c r="B166">
        <f>A169/6</f>
        <v>28</v>
      </c>
      <c r="C166" t="str">
        <f>VLOOKUP(Ondergrondscenarios[[#This Row],[VakID '[-']]],DataDijkvakken!A:I,2,FALSE)</f>
        <v>07j</v>
      </c>
      <c r="D166" s="8" t="str">
        <f>GenererenScenarios!$B$5</f>
        <v>P_S3_HL_TZ</v>
      </c>
      <c r="E166" s="8" t="str">
        <f>GenererenScenarios!$C$5</f>
        <v>Tussenzandlaag</v>
      </c>
      <c r="F166" s="26">
        <v>0</v>
      </c>
      <c r="G166" s="29">
        <f>VLOOKUP($C166,DataDijkvakken!$B:$G,2,FALSE)</f>
        <v>2.5046870000000001</v>
      </c>
      <c r="H166" s="7"/>
      <c r="I166" s="7"/>
      <c r="J166" s="29"/>
      <c r="K166" s="29">
        <f t="shared" si="18"/>
        <v>2.5046870000000001</v>
      </c>
      <c r="L166" s="7"/>
      <c r="M166" s="29">
        <f>IF(Ondergrondscenarios[[#This Row],[Scenariotype '[-']]]="Tussenzandlaag",0,VLOOKUP($C166,DataDijkvakken[#All],4,FALSE))</f>
        <v>0</v>
      </c>
      <c r="N166" s="29">
        <f t="shared" si="19"/>
        <v>0.1</v>
      </c>
      <c r="O166" s="29">
        <f>VLOOKUP($C166,DataDijkvakken!$B:$G,5,FALSE)</f>
        <v>15</v>
      </c>
      <c r="P166" s="29">
        <f>VLOOKUP($C166,DataDijkvakken!$B:$G,6,FALSE)</f>
        <v>35.174418604651166</v>
      </c>
      <c r="Q166" s="29">
        <f t="shared" si="20"/>
        <v>0.1</v>
      </c>
      <c r="R166" s="7">
        <v>1.0000000000000002E-2</v>
      </c>
      <c r="S166" s="27"/>
      <c r="T166" s="32">
        <f t="shared" si="21"/>
        <v>0</v>
      </c>
      <c r="U166" s="27"/>
      <c r="V166">
        <f t="shared" si="22"/>
        <v>115.46870000000001</v>
      </c>
      <c r="W166" s="31">
        <f t="shared" si="23"/>
        <v>1.0745636323643195</v>
      </c>
      <c r="X166" s="33"/>
      <c r="Y166">
        <f>IF(Ondergrondscenarios[[#This Row],[Scenariotype '[-']]]="-","",IF(Ondergrondscenarios[[#This Row],[Scenariotype '[-']]]="Pleistoceen",VLOOKUP(Ondergrondscenarios[[#This Row],[Vaknaam '[-']]],DataDijkvakken[#All],8,FALSE),VLOOKUP(Ondergrondscenarios[[#This Row],[Vaknaam '[-']]],DataDijkvakken[#All],7,FALSE)))</f>
        <v>2.5999999999999998E-4</v>
      </c>
      <c r="Z166">
        <f>VLOOKUP($C166,DataDijkvakken[#All],3,FALSE)</f>
        <v>18</v>
      </c>
      <c r="AA166" s="8"/>
    </row>
    <row r="167" spans="1:27" x14ac:dyDescent="0.3">
      <c r="A167">
        <f>IFERROR(IF(Ondergrondscenarios[[#This Row],[Scenarionaam '[-']]]="","",A166+1),1)</f>
        <v>166</v>
      </c>
      <c r="B167">
        <f>A169/6</f>
        <v>28</v>
      </c>
      <c r="C167" t="str">
        <f>VLOOKUP(Ondergrondscenarios[[#This Row],[VakID '[-']]],DataDijkvakken!A:I,2,FALSE)</f>
        <v>07j</v>
      </c>
      <c r="D167" s="8" t="str">
        <f>GenererenScenarios!$B$6</f>
        <v>P_S4</v>
      </c>
      <c r="E167" s="8" t="str">
        <f>GenererenScenarios!$C$6</f>
        <v>-</v>
      </c>
      <c r="F167" s="26">
        <v>0</v>
      </c>
      <c r="G167" s="29">
        <f>VLOOKUP($C167,DataDijkvakken!$B:$G,2,FALSE)</f>
        <v>2.5046870000000001</v>
      </c>
      <c r="H167" s="7"/>
      <c r="I167" s="7"/>
      <c r="J167" s="29"/>
      <c r="K167" s="29">
        <f t="shared" si="18"/>
        <v>2.5046870000000001</v>
      </c>
      <c r="L167" s="7"/>
      <c r="M167" s="29">
        <f>IF(Ondergrondscenarios[[#This Row],[Scenariotype '[-']]]="Tussenzandlaag",0,VLOOKUP($C167,DataDijkvakken[#All],4,FALSE))</f>
        <v>43</v>
      </c>
      <c r="N167" s="29">
        <f t="shared" si="19"/>
        <v>43</v>
      </c>
      <c r="O167" s="29">
        <f>VLOOKUP($C167,DataDijkvakken!$B:$G,5,FALSE)</f>
        <v>15</v>
      </c>
      <c r="P167" s="29">
        <f>VLOOKUP($C167,DataDijkvakken!$B:$G,6,FALSE)</f>
        <v>35.174418604651166</v>
      </c>
      <c r="Q167" s="29">
        <f t="shared" si="20"/>
        <v>35.174418604651166</v>
      </c>
      <c r="R167" s="7">
        <v>1512.5000000000002</v>
      </c>
      <c r="S167" s="27"/>
      <c r="T167" s="32">
        <f t="shared" si="21"/>
        <v>0</v>
      </c>
      <c r="U167" s="27"/>
      <c r="V167">
        <f t="shared" si="22"/>
        <v>115.46870000000001</v>
      </c>
      <c r="W167" s="31">
        <f t="shared" si="23"/>
        <v>417.90717719369218</v>
      </c>
      <c r="X167" s="33"/>
      <c r="Y167" t="str">
        <f>IF(Ondergrondscenarios[[#This Row],[Scenariotype '[-']]]="-","",IF(Ondergrondscenarios[[#This Row],[Scenariotype '[-']]]="Pleistoceen",VLOOKUP(Ondergrondscenarios[[#This Row],[Vaknaam '[-']]],DataDijkvakken[#All],8,FALSE),VLOOKUP(Ondergrondscenarios[[#This Row],[Vaknaam '[-']]],DataDijkvakken[#All],7,FALSE)))</f>
        <v/>
      </c>
      <c r="Z167">
        <f>VLOOKUP($C167,DataDijkvakken[#All],3,FALSE)</f>
        <v>18</v>
      </c>
      <c r="AA167" s="8"/>
    </row>
    <row r="168" spans="1:27" x14ac:dyDescent="0.3">
      <c r="A168">
        <f>IFERROR(IF(Ondergrondscenarios[[#This Row],[Scenarionaam '[-']]]="","",A167+1),1)</f>
        <v>167</v>
      </c>
      <c r="B168">
        <f>A169/6</f>
        <v>28</v>
      </c>
      <c r="C168" t="str">
        <f>VLOOKUP(Ondergrondscenarios[[#This Row],[VakID '[-']]],DataDijkvakken!A:I,2,FALSE)</f>
        <v>07j</v>
      </c>
      <c r="D168" s="8" t="str">
        <f>GenererenScenarios!$B$7</f>
        <v>P_S5</v>
      </c>
      <c r="E168" s="8" t="str">
        <f>GenererenScenarios!$C$7</f>
        <v>-</v>
      </c>
      <c r="F168" s="26">
        <v>0</v>
      </c>
      <c r="G168" s="29">
        <f>VLOOKUP($C168,DataDijkvakken!$B:$G,2,FALSE)</f>
        <v>2.5046870000000001</v>
      </c>
      <c r="H168" s="7"/>
      <c r="I168" s="7"/>
      <c r="J168" s="29"/>
      <c r="K168" s="29">
        <f t="shared" si="18"/>
        <v>2.5046870000000001</v>
      </c>
      <c r="L168" s="7"/>
      <c r="M168" s="29">
        <f>IF(Ondergrondscenarios[[#This Row],[Scenariotype '[-']]]="Tussenzandlaag",0,VLOOKUP($C168,DataDijkvakken[#All],4,FALSE))</f>
        <v>43</v>
      </c>
      <c r="N168" s="29">
        <f t="shared" si="19"/>
        <v>43</v>
      </c>
      <c r="O168" s="29">
        <f>VLOOKUP($C168,DataDijkvakken!$B:$G,5,FALSE)</f>
        <v>15</v>
      </c>
      <c r="P168" s="29">
        <f>VLOOKUP($C168,DataDijkvakken!$B:$G,6,FALSE)</f>
        <v>35.174418604651166</v>
      </c>
      <c r="Q168" s="29">
        <f t="shared" si="20"/>
        <v>35.174418604651166</v>
      </c>
      <c r="R168" s="7">
        <v>1512.5000000000002</v>
      </c>
      <c r="S168" s="27"/>
      <c r="T168" s="32">
        <f t="shared" si="21"/>
        <v>0</v>
      </c>
      <c r="U168" s="27"/>
      <c r="V168">
        <f t="shared" si="22"/>
        <v>115.46870000000001</v>
      </c>
      <c r="W168" s="31">
        <f t="shared" si="23"/>
        <v>417.90717719369218</v>
      </c>
      <c r="X168" s="33"/>
      <c r="Y168" t="str">
        <f>IF(Ondergrondscenarios[[#This Row],[Scenariotype '[-']]]="-","",IF(Ondergrondscenarios[[#This Row],[Scenariotype '[-']]]="Pleistoceen",VLOOKUP(Ondergrondscenarios[[#This Row],[Vaknaam '[-']]],DataDijkvakken[#All],8,FALSE),VLOOKUP(Ondergrondscenarios[[#This Row],[Vaknaam '[-']]],DataDijkvakken[#All],7,FALSE)))</f>
        <v/>
      </c>
      <c r="Z168">
        <f>VLOOKUP($C168,DataDijkvakken[#All],3,FALSE)</f>
        <v>18</v>
      </c>
      <c r="AA168" s="8"/>
    </row>
    <row r="169" spans="1:27" x14ac:dyDescent="0.3">
      <c r="A169">
        <f>IFERROR(IF(Ondergrondscenarios[[#This Row],[Scenarionaam '[-']]]="","",A168+1),1)</f>
        <v>168</v>
      </c>
      <c r="B169">
        <f>A169/6</f>
        <v>28</v>
      </c>
      <c r="C169" t="str">
        <f>VLOOKUP(Ondergrondscenarios[[#This Row],[VakID '[-']]],DataDijkvakken!A:I,2,FALSE)</f>
        <v>07j</v>
      </c>
      <c r="D169" s="8" t="str">
        <f>GenererenScenarios!$B$8</f>
        <v>P_S6</v>
      </c>
      <c r="E169" s="8" t="str">
        <f>GenererenScenarios!$C$8</f>
        <v>-</v>
      </c>
      <c r="F169" s="26">
        <v>0</v>
      </c>
      <c r="G169" s="29">
        <f>VLOOKUP($C169,DataDijkvakken!$B:$G,2,FALSE)</f>
        <v>2.5046870000000001</v>
      </c>
      <c r="H169" s="7"/>
      <c r="I169" s="7"/>
      <c r="J169" s="29"/>
      <c r="K169" s="29">
        <f t="shared" si="18"/>
        <v>2.5046870000000001</v>
      </c>
      <c r="L169" s="7"/>
      <c r="M169" s="29">
        <f>IF(Ondergrondscenarios[[#This Row],[Scenariotype '[-']]]="Tussenzandlaag",0,VLOOKUP($C169,DataDijkvakken[#All],4,FALSE))</f>
        <v>43</v>
      </c>
      <c r="N169" s="29">
        <f t="shared" si="19"/>
        <v>43</v>
      </c>
      <c r="O169" s="29">
        <f>VLOOKUP($C169,DataDijkvakken!$B:$G,5,FALSE)</f>
        <v>15</v>
      </c>
      <c r="P169" s="29">
        <f>VLOOKUP($C169,DataDijkvakken!$B:$G,6,FALSE)</f>
        <v>35.174418604651166</v>
      </c>
      <c r="Q169" s="29">
        <f t="shared" si="20"/>
        <v>35.174418604651166</v>
      </c>
      <c r="R169" s="7">
        <v>1512.5000000000002</v>
      </c>
      <c r="S169" s="27"/>
      <c r="T169" s="32">
        <f t="shared" si="21"/>
        <v>0</v>
      </c>
      <c r="U169" s="27"/>
      <c r="V169">
        <f t="shared" si="22"/>
        <v>115.46870000000001</v>
      </c>
      <c r="W169" s="31">
        <f t="shared" si="23"/>
        <v>417.90717719369218</v>
      </c>
      <c r="X169" s="33"/>
      <c r="Y169" t="str">
        <f>IF(Ondergrondscenarios[[#This Row],[Scenariotype '[-']]]="-","",IF(Ondergrondscenarios[[#This Row],[Scenariotype '[-']]]="Pleistoceen",VLOOKUP(Ondergrondscenarios[[#This Row],[Vaknaam '[-']]],DataDijkvakken[#All],8,FALSE),VLOOKUP(Ondergrondscenarios[[#This Row],[Vaknaam '[-']]],DataDijkvakken[#All],7,FALSE)))</f>
        <v/>
      </c>
      <c r="Z169">
        <f>VLOOKUP($C169,DataDijkvakken[#All],3,FALSE)</f>
        <v>18</v>
      </c>
      <c r="AA169" s="8"/>
    </row>
    <row r="170" spans="1:27" x14ac:dyDescent="0.3">
      <c r="A170">
        <f>IFERROR(IF(Ondergrondscenarios[[#This Row],[Scenarionaam '[-']]]="","",A169+1),1)</f>
        <v>169</v>
      </c>
      <c r="B170">
        <f>A175/6</f>
        <v>29</v>
      </c>
      <c r="C170" t="str">
        <f>VLOOKUP(Ondergrondscenarios[[#This Row],[VakID '[-']]],DataDijkvakken!A:I,2,FALSE)</f>
        <v>07k</v>
      </c>
      <c r="D170" s="8" t="str">
        <f>GenererenScenarios!$B$3</f>
        <v>P_S1_PL</v>
      </c>
      <c r="E170" s="8" t="str">
        <f>GenererenScenarios!$C$3</f>
        <v>Pleistoceen</v>
      </c>
      <c r="F170" s="26">
        <v>0.3</v>
      </c>
      <c r="G170" s="29">
        <f>VLOOKUP($C170,DataDijkvakken!$B:$G,2,FALSE)</f>
        <v>2.22273875</v>
      </c>
      <c r="H170" s="7"/>
      <c r="I170" s="7"/>
      <c r="J170" s="29">
        <v>-6.5</v>
      </c>
      <c r="K170" s="29">
        <f t="shared" si="18"/>
        <v>8.7227387499999995</v>
      </c>
      <c r="L170" s="7">
        <v>0</v>
      </c>
      <c r="M170" s="29">
        <f>IF(Ondergrondscenarios[[#This Row],[Scenariotype '[-']]]="Tussenzandlaag",0,VLOOKUP($C170,DataDijkvakken[#All],4,FALSE))</f>
        <v>43</v>
      </c>
      <c r="N170" s="29">
        <f t="shared" si="19"/>
        <v>43</v>
      </c>
      <c r="O170" s="29">
        <f>VLOOKUP($C170,DataDijkvakken!$B:$G,5,FALSE)</f>
        <v>15</v>
      </c>
      <c r="P170" s="29">
        <f>VLOOKUP($C170,DataDijkvakken!$B:$G,6,FALSE)</f>
        <v>35.174418604651166</v>
      </c>
      <c r="Q170" s="29">
        <f t="shared" si="20"/>
        <v>35.174418604651166</v>
      </c>
      <c r="R170" s="7">
        <v>1512.5000000000002</v>
      </c>
      <c r="S170" s="27"/>
      <c r="T170" s="32">
        <f t="shared" si="21"/>
        <v>0</v>
      </c>
      <c r="U170" s="27"/>
      <c r="V170">
        <f t="shared" si="22"/>
        <v>737.27387499999998</v>
      </c>
      <c r="W170" s="31">
        <f t="shared" si="23"/>
        <v>1055.9956135976608</v>
      </c>
      <c r="X170" s="33"/>
      <c r="Y170">
        <f>IF(Ondergrondscenarios[[#This Row],[Scenariotype '[-']]]="-","",IF(Ondergrondscenarios[[#This Row],[Scenariotype '[-']]]="Pleistoceen",VLOOKUP(Ondergrondscenarios[[#This Row],[Vaknaam '[-']]],DataDijkvakken[#All],8,FALSE),VLOOKUP(Ondergrondscenarios[[#This Row],[Vaknaam '[-']]],DataDijkvakken[#All],7,FALSE)))</f>
        <v>3.5000000000000005E-4</v>
      </c>
      <c r="Z170">
        <f>VLOOKUP($C170,DataDijkvakken[#All],3,FALSE)</f>
        <v>18</v>
      </c>
      <c r="AA170" s="8"/>
    </row>
    <row r="171" spans="1:27" x14ac:dyDescent="0.3">
      <c r="A171">
        <f>IFERROR(IF(Ondergrondscenarios[[#This Row],[Scenarionaam '[-']]]="","",A170+1),1)</f>
        <v>170</v>
      </c>
      <c r="B171">
        <f>A175/6</f>
        <v>29</v>
      </c>
      <c r="C171" t="str">
        <f>VLOOKUP(Ondergrondscenarios[[#This Row],[VakID '[-']]],DataDijkvakken!A:I,2,FALSE)</f>
        <v>07k</v>
      </c>
      <c r="D171" s="8" t="str">
        <f>GenererenScenarios!$B$4</f>
        <v>P_S2_HL_F</v>
      </c>
      <c r="E171" s="8" t="str">
        <f>GenererenScenarios!$C$4</f>
        <v>Holoceen</v>
      </c>
      <c r="F171" s="26">
        <v>0.6</v>
      </c>
      <c r="G171" s="29">
        <f>VLOOKUP($C171,DataDijkvakken!$B:$G,2,FALSE)</f>
        <v>2.22273875</v>
      </c>
      <c r="H171" s="7"/>
      <c r="I171" s="7"/>
      <c r="J171" s="29">
        <v>-1</v>
      </c>
      <c r="K171" s="29">
        <f t="shared" si="18"/>
        <v>3.22273875</v>
      </c>
      <c r="L171" s="7">
        <v>5</v>
      </c>
      <c r="M171" s="29">
        <f>IF(Ondergrondscenarios[[#This Row],[Scenariotype '[-']]]="Tussenzandlaag",0,VLOOKUP($C171,DataDijkvakken[#All],4,FALSE))</f>
        <v>43</v>
      </c>
      <c r="N171" s="29">
        <f t="shared" si="19"/>
        <v>48</v>
      </c>
      <c r="O171" s="29">
        <f>VLOOKUP($C171,DataDijkvakken!$B:$G,5,FALSE)</f>
        <v>15</v>
      </c>
      <c r="P171" s="29">
        <f>VLOOKUP($C171,DataDijkvakken!$B:$G,6,FALSE)</f>
        <v>35.174418604651166</v>
      </c>
      <c r="Q171" s="29">
        <f t="shared" si="20"/>
        <v>33.072916666666671</v>
      </c>
      <c r="R171" s="7">
        <v>1587.5000000000002</v>
      </c>
      <c r="S171" s="27"/>
      <c r="T171" s="32">
        <f t="shared" si="21"/>
        <v>0</v>
      </c>
      <c r="U171" s="27"/>
      <c r="V171">
        <f t="shared" si="22"/>
        <v>187.273875</v>
      </c>
      <c r="W171" s="31">
        <f t="shared" si="23"/>
        <v>545.2497377922341</v>
      </c>
      <c r="X171" s="33"/>
      <c r="Y171">
        <f>IF(Ondergrondscenarios[[#This Row],[Scenariotype '[-']]]="-","",IF(Ondergrondscenarios[[#This Row],[Scenariotype '[-']]]="Pleistoceen",VLOOKUP(Ondergrondscenarios[[#This Row],[Vaknaam '[-']]],DataDijkvakken[#All],8,FALSE),VLOOKUP(Ondergrondscenarios[[#This Row],[Vaknaam '[-']]],DataDijkvakken[#All],7,FALSE)))</f>
        <v>2.5999999999999998E-4</v>
      </c>
      <c r="Z171">
        <f>VLOOKUP($C171,DataDijkvakken[#All],3,FALSE)</f>
        <v>18</v>
      </c>
      <c r="AA171" s="8"/>
    </row>
    <row r="172" spans="1:27" x14ac:dyDescent="0.3">
      <c r="A172">
        <f>IFERROR(IF(Ondergrondscenarios[[#This Row],[Scenarionaam '[-']]]="","",A171+1),1)</f>
        <v>171</v>
      </c>
      <c r="B172">
        <f>A175/6</f>
        <v>29</v>
      </c>
      <c r="C172" t="str">
        <f>VLOOKUP(Ondergrondscenarios[[#This Row],[VakID '[-']]],DataDijkvakken!A:I,2,FALSE)</f>
        <v>07k</v>
      </c>
      <c r="D172" s="8" t="str">
        <f>GenererenScenarios!$B$5</f>
        <v>P_S3_HL_TZ</v>
      </c>
      <c r="E172" s="8" t="str">
        <f>GenererenScenarios!$C$5</f>
        <v>Tussenzandlaag</v>
      </c>
      <c r="F172" s="26">
        <v>0.1</v>
      </c>
      <c r="G172" s="29">
        <f>VLOOKUP($C172,DataDijkvakken!$B:$G,2,FALSE)</f>
        <v>2.22273875</v>
      </c>
      <c r="H172" s="7"/>
      <c r="I172" s="7"/>
      <c r="J172" s="29">
        <v>-1</v>
      </c>
      <c r="K172" s="29">
        <f t="shared" si="18"/>
        <v>3.22273875</v>
      </c>
      <c r="L172" s="7">
        <v>4</v>
      </c>
      <c r="M172" s="29">
        <f>IF(Ondergrondscenarios[[#This Row],[Scenariotype '[-']]]="Tussenzandlaag",0,VLOOKUP($C172,DataDijkvakken[#All],4,FALSE))</f>
        <v>0</v>
      </c>
      <c r="N172" s="29">
        <f t="shared" si="19"/>
        <v>4</v>
      </c>
      <c r="O172" s="29">
        <f>VLOOKUP($C172,DataDijkvakken!$B:$G,5,FALSE)</f>
        <v>15</v>
      </c>
      <c r="P172" s="29">
        <f>VLOOKUP($C172,DataDijkvakken!$B:$G,6,FALSE)</f>
        <v>35.174418604651166</v>
      </c>
      <c r="Q172" s="29">
        <f t="shared" si="20"/>
        <v>15</v>
      </c>
      <c r="R172" s="7">
        <v>60</v>
      </c>
      <c r="S172" s="27"/>
      <c r="T172" s="32">
        <f t="shared" si="21"/>
        <v>0</v>
      </c>
      <c r="U172" s="27"/>
      <c r="V172">
        <f t="shared" si="22"/>
        <v>187.273875</v>
      </c>
      <c r="W172" s="31">
        <f t="shared" si="23"/>
        <v>106.00204007470801</v>
      </c>
      <c r="X172" s="33"/>
      <c r="Y172">
        <f>IF(Ondergrondscenarios[[#This Row],[Scenariotype '[-']]]="-","",IF(Ondergrondscenarios[[#This Row],[Scenariotype '[-']]]="Pleistoceen",VLOOKUP(Ondergrondscenarios[[#This Row],[Vaknaam '[-']]],DataDijkvakken[#All],8,FALSE),VLOOKUP(Ondergrondscenarios[[#This Row],[Vaknaam '[-']]],DataDijkvakken[#All],7,FALSE)))</f>
        <v>2.5999999999999998E-4</v>
      </c>
      <c r="Z172">
        <f>VLOOKUP($C172,DataDijkvakken[#All],3,FALSE)</f>
        <v>18</v>
      </c>
      <c r="AA172" s="8"/>
    </row>
    <row r="173" spans="1:27" x14ac:dyDescent="0.3">
      <c r="A173">
        <f>IFERROR(IF(Ondergrondscenarios[[#This Row],[Scenarionaam '[-']]]="","",A172+1),1)</f>
        <v>172</v>
      </c>
      <c r="B173">
        <f>A175/6</f>
        <v>29</v>
      </c>
      <c r="C173" t="str">
        <f>VLOOKUP(Ondergrondscenarios[[#This Row],[VakID '[-']]],DataDijkvakken!A:I,2,FALSE)</f>
        <v>07k</v>
      </c>
      <c r="D173" s="8" t="str">
        <f>GenererenScenarios!$B$6</f>
        <v>P_S4</v>
      </c>
      <c r="E173" s="8" t="str">
        <f>GenererenScenarios!$C$6</f>
        <v>-</v>
      </c>
      <c r="F173" s="26">
        <v>0</v>
      </c>
      <c r="G173" s="29">
        <f>VLOOKUP($C173,DataDijkvakken!$B:$G,2,FALSE)</f>
        <v>2.22273875</v>
      </c>
      <c r="H173" s="7"/>
      <c r="I173" s="7"/>
      <c r="J173" s="29"/>
      <c r="K173" s="29">
        <f t="shared" si="18"/>
        <v>2.22273875</v>
      </c>
      <c r="L173" s="7"/>
      <c r="M173" s="29">
        <f>IF(Ondergrondscenarios[[#This Row],[Scenariotype '[-']]]="Tussenzandlaag",0,VLOOKUP($C173,DataDijkvakken[#All],4,FALSE))</f>
        <v>43</v>
      </c>
      <c r="N173" s="29">
        <f t="shared" si="19"/>
        <v>43</v>
      </c>
      <c r="O173" s="29">
        <f>VLOOKUP($C173,DataDijkvakken!$B:$G,5,FALSE)</f>
        <v>15</v>
      </c>
      <c r="P173" s="29">
        <f>VLOOKUP($C173,DataDijkvakken!$B:$G,6,FALSE)</f>
        <v>35.174418604651166</v>
      </c>
      <c r="Q173" s="29">
        <f t="shared" si="20"/>
        <v>35.174418604651166</v>
      </c>
      <c r="R173" s="7">
        <v>1512.5000000000002</v>
      </c>
      <c r="S173" s="27"/>
      <c r="T173" s="32">
        <f t="shared" si="21"/>
        <v>0</v>
      </c>
      <c r="U173" s="27"/>
      <c r="V173">
        <f t="shared" si="22"/>
        <v>87.273875000000004</v>
      </c>
      <c r="W173" s="31">
        <f t="shared" si="23"/>
        <v>363.32043148920212</v>
      </c>
      <c r="X173" s="33"/>
      <c r="Y173" t="str">
        <f>IF(Ondergrondscenarios[[#This Row],[Scenariotype '[-']]]="-","",IF(Ondergrondscenarios[[#This Row],[Scenariotype '[-']]]="Pleistoceen",VLOOKUP(Ondergrondscenarios[[#This Row],[Vaknaam '[-']]],DataDijkvakken[#All],8,FALSE),VLOOKUP(Ondergrondscenarios[[#This Row],[Vaknaam '[-']]],DataDijkvakken[#All],7,FALSE)))</f>
        <v/>
      </c>
      <c r="Z173">
        <f>VLOOKUP($C173,DataDijkvakken[#All],3,FALSE)</f>
        <v>18</v>
      </c>
      <c r="AA173" s="8"/>
    </row>
    <row r="174" spans="1:27" x14ac:dyDescent="0.3">
      <c r="A174">
        <f>IFERROR(IF(Ondergrondscenarios[[#This Row],[Scenarionaam '[-']]]="","",A173+1),1)</f>
        <v>173</v>
      </c>
      <c r="B174">
        <f>A175/6</f>
        <v>29</v>
      </c>
      <c r="C174" t="str">
        <f>VLOOKUP(Ondergrondscenarios[[#This Row],[VakID '[-']]],DataDijkvakken!A:I,2,FALSE)</f>
        <v>07k</v>
      </c>
      <c r="D174" s="8" t="str">
        <f>GenererenScenarios!$B$7</f>
        <v>P_S5</v>
      </c>
      <c r="E174" s="8" t="str">
        <f>GenererenScenarios!$C$7</f>
        <v>-</v>
      </c>
      <c r="F174" s="26">
        <v>0</v>
      </c>
      <c r="G174" s="29">
        <f>VLOOKUP($C174,DataDijkvakken!$B:$G,2,FALSE)</f>
        <v>2.22273875</v>
      </c>
      <c r="H174" s="7"/>
      <c r="I174" s="7"/>
      <c r="J174" s="29"/>
      <c r="K174" s="29">
        <f t="shared" si="18"/>
        <v>2.22273875</v>
      </c>
      <c r="L174" s="7"/>
      <c r="M174" s="29">
        <f>IF(Ondergrondscenarios[[#This Row],[Scenariotype '[-']]]="Tussenzandlaag",0,VLOOKUP($C174,DataDijkvakken[#All],4,FALSE))</f>
        <v>43</v>
      </c>
      <c r="N174" s="29">
        <f t="shared" si="19"/>
        <v>43</v>
      </c>
      <c r="O174" s="29">
        <f>VLOOKUP($C174,DataDijkvakken!$B:$G,5,FALSE)</f>
        <v>15</v>
      </c>
      <c r="P174" s="29">
        <f>VLOOKUP($C174,DataDijkvakken!$B:$G,6,FALSE)</f>
        <v>35.174418604651166</v>
      </c>
      <c r="Q174" s="29">
        <f t="shared" si="20"/>
        <v>35.174418604651166</v>
      </c>
      <c r="R174" s="7">
        <v>1512.5000000000002</v>
      </c>
      <c r="S174" s="27"/>
      <c r="T174" s="32">
        <f t="shared" si="21"/>
        <v>0</v>
      </c>
      <c r="U174" s="27"/>
      <c r="V174">
        <f t="shared" si="22"/>
        <v>87.273875000000004</v>
      </c>
      <c r="W174" s="31">
        <f t="shared" si="23"/>
        <v>363.32043148920212</v>
      </c>
      <c r="X174" s="33"/>
      <c r="Y174" t="str">
        <f>IF(Ondergrondscenarios[[#This Row],[Scenariotype '[-']]]="-","",IF(Ondergrondscenarios[[#This Row],[Scenariotype '[-']]]="Pleistoceen",VLOOKUP(Ondergrondscenarios[[#This Row],[Vaknaam '[-']]],DataDijkvakken[#All],8,FALSE),VLOOKUP(Ondergrondscenarios[[#This Row],[Vaknaam '[-']]],DataDijkvakken[#All],7,FALSE)))</f>
        <v/>
      </c>
      <c r="Z174">
        <f>VLOOKUP($C174,DataDijkvakken[#All],3,FALSE)</f>
        <v>18</v>
      </c>
      <c r="AA174" s="8"/>
    </row>
    <row r="175" spans="1:27" x14ac:dyDescent="0.3">
      <c r="A175">
        <f>IFERROR(IF(Ondergrondscenarios[[#This Row],[Scenarionaam '[-']]]="","",A174+1),1)</f>
        <v>174</v>
      </c>
      <c r="B175">
        <f>A175/6</f>
        <v>29</v>
      </c>
      <c r="C175" t="str">
        <f>VLOOKUP(Ondergrondscenarios[[#This Row],[VakID '[-']]],DataDijkvakken!A:I,2,FALSE)</f>
        <v>07k</v>
      </c>
      <c r="D175" s="8" t="str">
        <f>GenererenScenarios!$B$8</f>
        <v>P_S6</v>
      </c>
      <c r="E175" s="8" t="str">
        <f>GenererenScenarios!$C$8</f>
        <v>-</v>
      </c>
      <c r="F175" s="26">
        <v>0</v>
      </c>
      <c r="G175" s="29">
        <f>VLOOKUP($C175,DataDijkvakken!$B:$G,2,FALSE)</f>
        <v>2.22273875</v>
      </c>
      <c r="H175" s="7"/>
      <c r="I175" s="7"/>
      <c r="J175" s="29"/>
      <c r="K175" s="29">
        <f t="shared" si="18"/>
        <v>2.22273875</v>
      </c>
      <c r="L175" s="7"/>
      <c r="M175" s="29">
        <f>IF(Ondergrondscenarios[[#This Row],[Scenariotype '[-']]]="Tussenzandlaag",0,VLOOKUP($C175,DataDijkvakken[#All],4,FALSE))</f>
        <v>43</v>
      </c>
      <c r="N175" s="29">
        <f t="shared" si="19"/>
        <v>43</v>
      </c>
      <c r="O175" s="29">
        <f>VLOOKUP($C175,DataDijkvakken!$B:$G,5,FALSE)</f>
        <v>15</v>
      </c>
      <c r="P175" s="29">
        <f>VLOOKUP($C175,DataDijkvakken!$B:$G,6,FALSE)</f>
        <v>35.174418604651166</v>
      </c>
      <c r="Q175" s="29">
        <f t="shared" si="20"/>
        <v>35.174418604651166</v>
      </c>
      <c r="R175" s="7">
        <v>1512.5000000000002</v>
      </c>
      <c r="S175" s="27"/>
      <c r="T175" s="32">
        <f t="shared" si="21"/>
        <v>0</v>
      </c>
      <c r="U175" s="27"/>
      <c r="V175">
        <f t="shared" si="22"/>
        <v>87.273875000000004</v>
      </c>
      <c r="W175" s="31">
        <f t="shared" si="23"/>
        <v>363.32043148920212</v>
      </c>
      <c r="X175" s="33"/>
      <c r="Y175" t="str">
        <f>IF(Ondergrondscenarios[[#This Row],[Scenariotype '[-']]]="-","",IF(Ondergrondscenarios[[#This Row],[Scenariotype '[-']]]="Pleistoceen",VLOOKUP(Ondergrondscenarios[[#This Row],[Vaknaam '[-']]],DataDijkvakken[#All],8,FALSE),VLOOKUP(Ondergrondscenarios[[#This Row],[Vaknaam '[-']]],DataDijkvakken[#All],7,FALSE)))</f>
        <v/>
      </c>
      <c r="Z175">
        <f>VLOOKUP($C175,DataDijkvakken[#All],3,FALSE)</f>
        <v>18</v>
      </c>
      <c r="AA175" s="8"/>
    </row>
    <row r="176" spans="1:27" x14ac:dyDescent="0.3">
      <c r="A176">
        <f>IFERROR(IF(Ondergrondscenarios[[#This Row],[Scenarionaam '[-']]]="","",A175+1),1)</f>
        <v>175</v>
      </c>
      <c r="B176">
        <f>A181/6</f>
        <v>30</v>
      </c>
      <c r="C176" t="str">
        <f>VLOOKUP(Ondergrondscenarios[[#This Row],[VakID '[-']]],DataDijkvakken!A:I,2,FALSE)</f>
        <v>08a</v>
      </c>
      <c r="D176" s="8" t="str">
        <f>GenererenScenarios!$B$3</f>
        <v>P_S1_PL</v>
      </c>
      <c r="E176" s="8" t="str">
        <f>GenererenScenarios!$C$3</f>
        <v>Pleistoceen</v>
      </c>
      <c r="F176" s="26">
        <v>1</v>
      </c>
      <c r="G176" s="29">
        <f>VLOOKUP($C176,DataDijkvakken!$B:$G,2,FALSE)</f>
        <v>1.3634105333333331</v>
      </c>
      <c r="H176" s="7"/>
      <c r="I176" s="7"/>
      <c r="J176" s="29">
        <v>-6.5</v>
      </c>
      <c r="K176" s="29">
        <f t="shared" si="18"/>
        <v>7.8634105333333331</v>
      </c>
      <c r="L176" s="7">
        <v>0</v>
      </c>
      <c r="M176" s="29">
        <f>IF(Ondergrondscenarios[[#This Row],[Scenariotype '[-']]]="Tussenzandlaag",0,VLOOKUP($C176,DataDijkvakken[#All],4,FALSE))</f>
        <v>43</v>
      </c>
      <c r="N176" s="29">
        <f t="shared" si="19"/>
        <v>43</v>
      </c>
      <c r="O176" s="29">
        <f>VLOOKUP($C176,DataDijkvakken!$B:$G,5,FALSE)</f>
        <v>15</v>
      </c>
      <c r="P176" s="29">
        <f>VLOOKUP($C176,DataDijkvakken!$B:$G,6,FALSE)</f>
        <v>35.174418604651166</v>
      </c>
      <c r="Q176" s="29">
        <f t="shared" si="20"/>
        <v>35.174418604651166</v>
      </c>
      <c r="R176" s="7">
        <v>1512.5000000000002</v>
      </c>
      <c r="S176" s="27"/>
      <c r="T176" s="32">
        <f t="shared" si="21"/>
        <v>0</v>
      </c>
      <c r="U176" s="27"/>
      <c r="V176">
        <f t="shared" si="22"/>
        <v>651.34105333333332</v>
      </c>
      <c r="W176" s="31">
        <f t="shared" si="23"/>
        <v>992.54891222884669</v>
      </c>
      <c r="X176" s="33"/>
      <c r="Y176">
        <f>IF(Ondergrondscenarios[[#This Row],[Scenariotype '[-']]]="-","",IF(Ondergrondscenarios[[#This Row],[Scenariotype '[-']]]="Pleistoceen",VLOOKUP(Ondergrondscenarios[[#This Row],[Vaknaam '[-']]],DataDijkvakken[#All],8,FALSE),VLOOKUP(Ondergrondscenarios[[#This Row],[Vaknaam '[-']]],DataDijkvakken[#All],7,FALSE)))</f>
        <v>3.5000000000000005E-4</v>
      </c>
      <c r="Z176">
        <f>VLOOKUP($C176,DataDijkvakken[#All],3,FALSE)</f>
        <v>18</v>
      </c>
      <c r="AA176" s="8"/>
    </row>
    <row r="177" spans="1:27" x14ac:dyDescent="0.3">
      <c r="A177">
        <f>IFERROR(IF(Ondergrondscenarios[[#This Row],[Scenarionaam '[-']]]="","",A176+1),1)</f>
        <v>176</v>
      </c>
      <c r="B177">
        <f>A181/6</f>
        <v>30</v>
      </c>
      <c r="C177" t="str">
        <f>VLOOKUP(Ondergrondscenarios[[#This Row],[VakID '[-']]],DataDijkvakken!A:I,2,FALSE)</f>
        <v>08a</v>
      </c>
      <c r="D177" s="8" t="str">
        <f>GenererenScenarios!$B$4</f>
        <v>P_S2_HL_F</v>
      </c>
      <c r="E177" s="8" t="str">
        <f>GenererenScenarios!$C$4</f>
        <v>Holoceen</v>
      </c>
      <c r="F177" s="26">
        <v>0</v>
      </c>
      <c r="G177" s="29">
        <f>VLOOKUP($C177,DataDijkvakken!$B:$G,2,FALSE)</f>
        <v>1.3634105333333331</v>
      </c>
      <c r="H177" s="7"/>
      <c r="I177" s="7"/>
      <c r="J177" s="29">
        <v>-0.5</v>
      </c>
      <c r="K177" s="29">
        <f t="shared" si="18"/>
        <v>1.8634105333333331</v>
      </c>
      <c r="L177" s="7">
        <v>6</v>
      </c>
      <c r="M177" s="29">
        <f>IF(Ondergrondscenarios[[#This Row],[Scenariotype '[-']]]="Tussenzandlaag",0,VLOOKUP($C177,DataDijkvakken[#All],4,FALSE))</f>
        <v>43</v>
      </c>
      <c r="N177" s="29">
        <f t="shared" si="19"/>
        <v>49</v>
      </c>
      <c r="O177" s="29">
        <f>VLOOKUP($C177,DataDijkvakken!$B:$G,5,FALSE)</f>
        <v>15</v>
      </c>
      <c r="P177" s="29">
        <f>VLOOKUP($C177,DataDijkvakken!$B:$G,6,FALSE)</f>
        <v>35.174418604651166</v>
      </c>
      <c r="Q177" s="29">
        <f t="shared" si="20"/>
        <v>32.704081632653065</v>
      </c>
      <c r="R177" s="7">
        <v>1602.5000000000002</v>
      </c>
      <c r="S177" s="27"/>
      <c r="T177" s="32">
        <f t="shared" si="21"/>
        <v>0</v>
      </c>
      <c r="U177" s="27"/>
      <c r="V177">
        <f t="shared" si="22"/>
        <v>51.341053333333306</v>
      </c>
      <c r="W177" s="31">
        <f t="shared" si="23"/>
        <v>286.83451320694769</v>
      </c>
      <c r="X177" s="33"/>
      <c r="Y177">
        <f>IF(Ondergrondscenarios[[#This Row],[Scenariotype '[-']]]="-","",IF(Ondergrondscenarios[[#This Row],[Scenariotype '[-']]]="Pleistoceen",VLOOKUP(Ondergrondscenarios[[#This Row],[Vaknaam '[-']]],DataDijkvakken[#All],8,FALSE),VLOOKUP(Ondergrondscenarios[[#This Row],[Vaknaam '[-']]],DataDijkvakken[#All],7,FALSE)))</f>
        <v>2.5999999999999998E-4</v>
      </c>
      <c r="Z177">
        <f>VLOOKUP($C177,DataDijkvakken[#All],3,FALSE)</f>
        <v>18</v>
      </c>
      <c r="AA177" s="8"/>
    </row>
    <row r="178" spans="1:27" x14ac:dyDescent="0.3">
      <c r="A178">
        <f>IFERROR(IF(Ondergrondscenarios[[#This Row],[Scenarionaam '[-']]]="","",A177+1),1)</f>
        <v>177</v>
      </c>
      <c r="B178">
        <f>A181/6</f>
        <v>30</v>
      </c>
      <c r="C178" t="str">
        <f>VLOOKUP(Ondergrondscenarios[[#This Row],[VakID '[-']]],DataDijkvakken!A:I,2,FALSE)</f>
        <v>08a</v>
      </c>
      <c r="D178" s="8" t="str">
        <f>GenererenScenarios!$B$5</f>
        <v>P_S3_HL_TZ</v>
      </c>
      <c r="E178" s="8" t="str">
        <f>GenererenScenarios!$C$5</f>
        <v>Tussenzandlaag</v>
      </c>
      <c r="F178" s="26">
        <v>0</v>
      </c>
      <c r="G178" s="29">
        <f>VLOOKUP($C178,DataDijkvakken!$B:$G,2,FALSE)</f>
        <v>1.3634105333333331</v>
      </c>
      <c r="H178" s="7"/>
      <c r="I178" s="7"/>
      <c r="J178" s="29">
        <v>-0.5</v>
      </c>
      <c r="K178" s="29">
        <f t="shared" si="18"/>
        <v>1.8634105333333331</v>
      </c>
      <c r="L178" s="7">
        <v>4</v>
      </c>
      <c r="M178" s="29">
        <f>IF(Ondergrondscenarios[[#This Row],[Scenariotype '[-']]]="Tussenzandlaag",0,VLOOKUP($C178,DataDijkvakken[#All],4,FALSE))</f>
        <v>0</v>
      </c>
      <c r="N178" s="29">
        <f t="shared" si="19"/>
        <v>4</v>
      </c>
      <c r="O178" s="29">
        <f>VLOOKUP($C178,DataDijkvakken!$B:$G,5,FALSE)</f>
        <v>15</v>
      </c>
      <c r="P178" s="29">
        <f>VLOOKUP($C178,DataDijkvakken!$B:$G,6,FALSE)</f>
        <v>35.174418604651166</v>
      </c>
      <c r="Q178" s="29">
        <f t="shared" si="20"/>
        <v>15</v>
      </c>
      <c r="R178" s="7">
        <v>60</v>
      </c>
      <c r="S178" s="27"/>
      <c r="T178" s="32">
        <f t="shared" si="21"/>
        <v>0</v>
      </c>
      <c r="U178" s="27"/>
      <c r="V178">
        <f t="shared" si="22"/>
        <v>51.341053333333306</v>
      </c>
      <c r="W178" s="31">
        <f t="shared" si="23"/>
        <v>55.501920687486106</v>
      </c>
      <c r="X178" s="33"/>
      <c r="Y178">
        <f>IF(Ondergrondscenarios[[#This Row],[Scenariotype '[-']]]="-","",IF(Ondergrondscenarios[[#This Row],[Scenariotype '[-']]]="Pleistoceen",VLOOKUP(Ondergrondscenarios[[#This Row],[Vaknaam '[-']]],DataDijkvakken[#All],8,FALSE),VLOOKUP(Ondergrondscenarios[[#This Row],[Vaknaam '[-']]],DataDijkvakken[#All],7,FALSE)))</f>
        <v>2.5999999999999998E-4</v>
      </c>
      <c r="Z178">
        <f>VLOOKUP($C178,DataDijkvakken[#All],3,FALSE)</f>
        <v>18</v>
      </c>
      <c r="AA178" s="8"/>
    </row>
    <row r="179" spans="1:27" x14ac:dyDescent="0.3">
      <c r="A179">
        <f>IFERROR(IF(Ondergrondscenarios[[#This Row],[Scenarionaam '[-']]]="","",A178+1),1)</f>
        <v>178</v>
      </c>
      <c r="B179">
        <f>A181/6</f>
        <v>30</v>
      </c>
      <c r="C179" t="str">
        <f>VLOOKUP(Ondergrondscenarios[[#This Row],[VakID '[-']]],DataDijkvakken!A:I,2,FALSE)</f>
        <v>08a</v>
      </c>
      <c r="D179" s="8" t="str">
        <f>GenererenScenarios!$B$6</f>
        <v>P_S4</v>
      </c>
      <c r="E179" s="8" t="str">
        <f>GenererenScenarios!$C$6</f>
        <v>-</v>
      </c>
      <c r="F179" s="26">
        <v>0</v>
      </c>
      <c r="G179" s="29">
        <f>VLOOKUP($C179,DataDijkvakken!$B:$G,2,FALSE)</f>
        <v>1.3634105333333331</v>
      </c>
      <c r="H179" s="7"/>
      <c r="I179" s="7"/>
      <c r="J179" s="29"/>
      <c r="K179" s="29">
        <f t="shared" si="18"/>
        <v>1.3634105333333331</v>
      </c>
      <c r="L179" s="7"/>
      <c r="M179" s="29">
        <f>IF(Ondergrondscenarios[[#This Row],[Scenariotype '[-']]]="Tussenzandlaag",0,VLOOKUP($C179,DataDijkvakken[#All],4,FALSE))</f>
        <v>43</v>
      </c>
      <c r="N179" s="29">
        <f t="shared" si="19"/>
        <v>43</v>
      </c>
      <c r="O179" s="29">
        <f>VLOOKUP($C179,DataDijkvakken!$B:$G,5,FALSE)</f>
        <v>15</v>
      </c>
      <c r="P179" s="29">
        <f>VLOOKUP($C179,DataDijkvakken!$B:$G,6,FALSE)</f>
        <v>35.174418604651166</v>
      </c>
      <c r="Q179" s="29">
        <f t="shared" si="20"/>
        <v>35.174418604651166</v>
      </c>
      <c r="R179" s="7">
        <v>1512.5000000000002</v>
      </c>
      <c r="S179" s="27"/>
      <c r="T179" s="32">
        <f t="shared" si="21"/>
        <v>0</v>
      </c>
      <c r="U179" s="27"/>
      <c r="V179">
        <f t="shared" si="22"/>
        <v>13.634105333333331</v>
      </c>
      <c r="W179" s="31">
        <f t="shared" si="23"/>
        <v>143.60217378809648</v>
      </c>
      <c r="X179" s="33"/>
      <c r="Y179" t="str">
        <f>IF(Ondergrondscenarios[[#This Row],[Scenariotype '[-']]]="-","",IF(Ondergrondscenarios[[#This Row],[Scenariotype '[-']]]="Pleistoceen",VLOOKUP(Ondergrondscenarios[[#This Row],[Vaknaam '[-']]],DataDijkvakken[#All],8,FALSE),VLOOKUP(Ondergrondscenarios[[#This Row],[Vaknaam '[-']]],DataDijkvakken[#All],7,FALSE)))</f>
        <v/>
      </c>
      <c r="Z179">
        <f>VLOOKUP($C179,DataDijkvakken[#All],3,FALSE)</f>
        <v>18</v>
      </c>
      <c r="AA179" s="8"/>
    </row>
    <row r="180" spans="1:27" x14ac:dyDescent="0.3">
      <c r="A180">
        <f>IFERROR(IF(Ondergrondscenarios[[#This Row],[Scenarionaam '[-']]]="","",A179+1),1)</f>
        <v>179</v>
      </c>
      <c r="B180">
        <f>A181/6</f>
        <v>30</v>
      </c>
      <c r="C180" t="str">
        <f>VLOOKUP(Ondergrondscenarios[[#This Row],[VakID '[-']]],DataDijkvakken!A:I,2,FALSE)</f>
        <v>08a</v>
      </c>
      <c r="D180" s="8" t="str">
        <f>GenererenScenarios!$B$7</f>
        <v>P_S5</v>
      </c>
      <c r="E180" s="8" t="str">
        <f>GenererenScenarios!$C$7</f>
        <v>-</v>
      </c>
      <c r="F180" s="26">
        <v>0</v>
      </c>
      <c r="G180" s="29">
        <f>VLOOKUP($C180,DataDijkvakken!$B:$G,2,FALSE)</f>
        <v>1.3634105333333331</v>
      </c>
      <c r="H180" s="7"/>
      <c r="I180" s="7"/>
      <c r="J180" s="29"/>
      <c r="K180" s="29">
        <f t="shared" si="18"/>
        <v>1.3634105333333331</v>
      </c>
      <c r="L180" s="7"/>
      <c r="M180" s="29">
        <f>IF(Ondergrondscenarios[[#This Row],[Scenariotype '[-']]]="Tussenzandlaag",0,VLOOKUP($C180,DataDijkvakken[#All],4,FALSE))</f>
        <v>43</v>
      </c>
      <c r="N180" s="29">
        <f t="shared" si="19"/>
        <v>43</v>
      </c>
      <c r="O180" s="29">
        <f>VLOOKUP($C180,DataDijkvakken!$B:$G,5,FALSE)</f>
        <v>15</v>
      </c>
      <c r="P180" s="29">
        <f>VLOOKUP($C180,DataDijkvakken!$B:$G,6,FALSE)</f>
        <v>35.174418604651166</v>
      </c>
      <c r="Q180" s="29">
        <f t="shared" si="20"/>
        <v>35.174418604651166</v>
      </c>
      <c r="R180" s="7">
        <v>1512.5000000000002</v>
      </c>
      <c r="S180" s="27"/>
      <c r="T180" s="32">
        <f t="shared" si="21"/>
        <v>0</v>
      </c>
      <c r="U180" s="27"/>
      <c r="V180">
        <f t="shared" si="22"/>
        <v>13.634105333333331</v>
      </c>
      <c r="W180" s="31">
        <f t="shared" si="23"/>
        <v>143.60217378809648</v>
      </c>
      <c r="X180" s="33"/>
      <c r="Y180" t="str">
        <f>IF(Ondergrondscenarios[[#This Row],[Scenariotype '[-']]]="-","",IF(Ondergrondscenarios[[#This Row],[Scenariotype '[-']]]="Pleistoceen",VLOOKUP(Ondergrondscenarios[[#This Row],[Vaknaam '[-']]],DataDijkvakken[#All],8,FALSE),VLOOKUP(Ondergrondscenarios[[#This Row],[Vaknaam '[-']]],DataDijkvakken[#All],7,FALSE)))</f>
        <v/>
      </c>
      <c r="Z180">
        <f>VLOOKUP($C180,DataDijkvakken[#All],3,FALSE)</f>
        <v>18</v>
      </c>
      <c r="AA180" s="8"/>
    </row>
    <row r="181" spans="1:27" x14ac:dyDescent="0.3">
      <c r="A181">
        <f>IFERROR(IF(Ondergrondscenarios[[#This Row],[Scenarionaam '[-']]]="","",A180+1),1)</f>
        <v>180</v>
      </c>
      <c r="B181">
        <f>A181/6</f>
        <v>30</v>
      </c>
      <c r="C181" t="str">
        <f>VLOOKUP(Ondergrondscenarios[[#This Row],[VakID '[-']]],DataDijkvakken!A:I,2,FALSE)</f>
        <v>08a</v>
      </c>
      <c r="D181" s="8" t="str">
        <f>GenererenScenarios!$B$8</f>
        <v>P_S6</v>
      </c>
      <c r="E181" s="8" t="str">
        <f>GenererenScenarios!$C$8</f>
        <v>-</v>
      </c>
      <c r="F181" s="26">
        <v>0</v>
      </c>
      <c r="G181" s="29">
        <f>VLOOKUP($C181,DataDijkvakken!$B:$G,2,FALSE)</f>
        <v>1.3634105333333331</v>
      </c>
      <c r="H181" s="7"/>
      <c r="I181" s="7"/>
      <c r="J181" s="29"/>
      <c r="K181" s="29">
        <f t="shared" si="18"/>
        <v>1.3634105333333331</v>
      </c>
      <c r="L181" s="7"/>
      <c r="M181" s="29">
        <f>IF(Ondergrondscenarios[[#This Row],[Scenariotype '[-']]]="Tussenzandlaag",0,VLOOKUP($C181,DataDijkvakken[#All],4,FALSE))</f>
        <v>43</v>
      </c>
      <c r="N181" s="29">
        <f t="shared" si="19"/>
        <v>43</v>
      </c>
      <c r="O181" s="29">
        <f>VLOOKUP($C181,DataDijkvakken!$B:$G,5,FALSE)</f>
        <v>15</v>
      </c>
      <c r="P181" s="29">
        <f>VLOOKUP($C181,DataDijkvakken!$B:$G,6,FALSE)</f>
        <v>35.174418604651166</v>
      </c>
      <c r="Q181" s="29">
        <f t="shared" si="20"/>
        <v>35.174418604651166</v>
      </c>
      <c r="R181" s="7">
        <v>1512.5000000000002</v>
      </c>
      <c r="S181" s="27"/>
      <c r="T181" s="32">
        <f t="shared" si="21"/>
        <v>0</v>
      </c>
      <c r="U181" s="27"/>
      <c r="V181">
        <f t="shared" si="22"/>
        <v>13.634105333333331</v>
      </c>
      <c r="W181" s="31">
        <f t="shared" si="23"/>
        <v>143.60217378809648</v>
      </c>
      <c r="X181" s="33"/>
      <c r="Y181" t="str">
        <f>IF(Ondergrondscenarios[[#This Row],[Scenariotype '[-']]]="-","",IF(Ondergrondscenarios[[#This Row],[Scenariotype '[-']]]="Pleistoceen",VLOOKUP(Ondergrondscenarios[[#This Row],[Vaknaam '[-']]],DataDijkvakken[#All],8,FALSE),VLOOKUP(Ondergrondscenarios[[#This Row],[Vaknaam '[-']]],DataDijkvakken[#All],7,FALSE)))</f>
        <v/>
      </c>
      <c r="Z181">
        <f>VLOOKUP($C181,DataDijkvakken[#All],3,FALSE)</f>
        <v>18</v>
      </c>
      <c r="AA181" s="8"/>
    </row>
    <row r="182" spans="1:27" x14ac:dyDescent="0.3">
      <c r="A182">
        <f>IFERROR(IF(Ondergrondscenarios[[#This Row],[Scenarionaam '[-']]]="","",A181+1),1)</f>
        <v>181</v>
      </c>
      <c r="B182">
        <f>A187/6</f>
        <v>31</v>
      </c>
      <c r="C182" t="str">
        <f>VLOOKUP(Ondergrondscenarios[[#This Row],[VakID '[-']]],DataDijkvakken!A:I,2,FALSE)</f>
        <v>08b</v>
      </c>
      <c r="D182" s="8" t="str">
        <f>GenererenScenarios!$B$3</f>
        <v>P_S1_PL</v>
      </c>
      <c r="E182" s="8" t="str">
        <f>GenererenScenarios!$C$3</f>
        <v>Pleistoceen</v>
      </c>
      <c r="F182" s="26">
        <v>0.5</v>
      </c>
      <c r="G182" s="29">
        <f>VLOOKUP($C182,DataDijkvakken!$B:$G,2,FALSE)</f>
        <v>1.1546215952380956</v>
      </c>
      <c r="H182" s="7"/>
      <c r="I182" s="7"/>
      <c r="J182" s="29">
        <v>-6.5</v>
      </c>
      <c r="K182" s="29">
        <f t="shared" si="18"/>
        <v>7.6546215952380958</v>
      </c>
      <c r="L182" s="7">
        <v>0</v>
      </c>
      <c r="M182" s="29">
        <f>IF(Ondergrondscenarios[[#This Row],[Scenariotype '[-']]]="Tussenzandlaag",0,VLOOKUP($C182,DataDijkvakken[#All],4,FALSE))</f>
        <v>37.5</v>
      </c>
      <c r="N182" s="29">
        <f t="shared" si="19"/>
        <v>37.5</v>
      </c>
      <c r="O182" s="29">
        <f>VLOOKUP($C182,DataDijkvakken!$B:$G,5,FALSE)</f>
        <v>15</v>
      </c>
      <c r="P182" s="29">
        <f>VLOOKUP($C182,DataDijkvakken!$B:$G,6,FALSE)</f>
        <v>37.5</v>
      </c>
      <c r="Q182" s="29">
        <f t="shared" si="20"/>
        <v>37.5</v>
      </c>
      <c r="R182" s="7">
        <v>1406.25</v>
      </c>
      <c r="S182" s="27"/>
      <c r="T182" s="32">
        <f t="shared" si="21"/>
        <v>0</v>
      </c>
      <c r="U182" s="27"/>
      <c r="V182">
        <f t="shared" si="22"/>
        <v>630.46215952380953</v>
      </c>
      <c r="W182" s="31">
        <f t="shared" si="23"/>
        <v>941.58770798601506</v>
      </c>
      <c r="X182" s="33"/>
      <c r="Y182">
        <f>IF(Ondergrondscenarios[[#This Row],[Scenariotype '[-']]]="-","",IF(Ondergrondscenarios[[#This Row],[Scenariotype '[-']]]="Pleistoceen",VLOOKUP(Ondergrondscenarios[[#This Row],[Vaknaam '[-']]],DataDijkvakken[#All],8,FALSE),VLOOKUP(Ondergrondscenarios[[#This Row],[Vaknaam '[-']]],DataDijkvakken[#All],7,FALSE)))</f>
        <v>3.5000000000000005E-4</v>
      </c>
      <c r="Z182">
        <f>VLOOKUP($C182,DataDijkvakken[#All],3,FALSE)</f>
        <v>18</v>
      </c>
      <c r="AA182" s="8"/>
    </row>
    <row r="183" spans="1:27" x14ac:dyDescent="0.3">
      <c r="A183">
        <f>IFERROR(IF(Ondergrondscenarios[[#This Row],[Scenarionaam '[-']]]="","",A182+1),1)</f>
        <v>182</v>
      </c>
      <c r="B183">
        <f>A187/6</f>
        <v>31</v>
      </c>
      <c r="C183" t="str">
        <f>VLOOKUP(Ondergrondscenarios[[#This Row],[VakID '[-']]],DataDijkvakken!A:I,2,FALSE)</f>
        <v>08b</v>
      </c>
      <c r="D183" s="8" t="str">
        <f>GenererenScenarios!$B$4</f>
        <v>P_S2_HL_F</v>
      </c>
      <c r="E183" s="8" t="str">
        <f>GenererenScenarios!$C$4</f>
        <v>Holoceen</v>
      </c>
      <c r="F183" s="26">
        <v>0.5</v>
      </c>
      <c r="G183" s="29">
        <f>VLOOKUP($C183,DataDijkvakken!$B:$G,2,FALSE)</f>
        <v>1.1546215952380956</v>
      </c>
      <c r="H183" s="7"/>
      <c r="I183" s="7"/>
      <c r="J183" s="29">
        <v>-0.5</v>
      </c>
      <c r="K183" s="29">
        <f t="shared" si="18"/>
        <v>1.6546215952380956</v>
      </c>
      <c r="L183" s="7">
        <v>6</v>
      </c>
      <c r="M183" s="29">
        <f>IF(Ondergrondscenarios[[#This Row],[Scenariotype '[-']]]="Tussenzandlaag",0,VLOOKUP($C183,DataDijkvakken[#All],4,FALSE))</f>
        <v>37.5</v>
      </c>
      <c r="N183" s="29">
        <f t="shared" si="19"/>
        <v>43.5</v>
      </c>
      <c r="O183" s="29">
        <f>VLOOKUP($C183,DataDijkvakken!$B:$G,5,FALSE)</f>
        <v>15</v>
      </c>
      <c r="P183" s="29">
        <f>VLOOKUP($C183,DataDijkvakken!$B:$G,6,FALSE)</f>
        <v>37.5</v>
      </c>
      <c r="Q183" s="29">
        <f t="shared" si="20"/>
        <v>34.396551724137929</v>
      </c>
      <c r="R183" s="7">
        <v>1496.25</v>
      </c>
      <c r="S183" s="27"/>
      <c r="T183" s="32">
        <f t="shared" si="21"/>
        <v>0</v>
      </c>
      <c r="U183" s="27"/>
      <c r="V183">
        <f t="shared" si="22"/>
        <v>30.462159523809561</v>
      </c>
      <c r="W183" s="31">
        <f t="shared" si="23"/>
        <v>213.49240311425615</v>
      </c>
      <c r="X183" s="33"/>
      <c r="Y183">
        <f>IF(Ondergrondscenarios[[#This Row],[Scenariotype '[-']]]="-","",IF(Ondergrondscenarios[[#This Row],[Scenariotype '[-']]]="Pleistoceen",VLOOKUP(Ondergrondscenarios[[#This Row],[Vaknaam '[-']]],DataDijkvakken[#All],8,FALSE),VLOOKUP(Ondergrondscenarios[[#This Row],[Vaknaam '[-']]],DataDijkvakken[#All],7,FALSE)))</f>
        <v>2.5999999999999998E-4</v>
      </c>
      <c r="Z183">
        <f>VLOOKUP($C183,DataDijkvakken[#All],3,FALSE)</f>
        <v>18</v>
      </c>
      <c r="AA183" s="8"/>
    </row>
    <row r="184" spans="1:27" x14ac:dyDescent="0.3">
      <c r="A184">
        <f>IFERROR(IF(Ondergrondscenarios[[#This Row],[Scenarionaam '[-']]]="","",A183+1),1)</f>
        <v>183</v>
      </c>
      <c r="B184">
        <f>A187/6</f>
        <v>31</v>
      </c>
      <c r="C184" t="str">
        <f>VLOOKUP(Ondergrondscenarios[[#This Row],[VakID '[-']]],DataDijkvakken!A:I,2,FALSE)</f>
        <v>08b</v>
      </c>
      <c r="D184" s="8" t="str">
        <f>GenererenScenarios!$B$5</f>
        <v>P_S3_HL_TZ</v>
      </c>
      <c r="E184" s="8" t="str">
        <f>GenererenScenarios!$C$5</f>
        <v>Tussenzandlaag</v>
      </c>
      <c r="F184" s="26">
        <v>0</v>
      </c>
      <c r="G184" s="29">
        <f>VLOOKUP($C184,DataDijkvakken!$B:$G,2,FALSE)</f>
        <v>1.1546215952380956</v>
      </c>
      <c r="H184" s="7"/>
      <c r="I184" s="7"/>
      <c r="J184" s="29">
        <v>-0.5</v>
      </c>
      <c r="K184" s="29">
        <f t="shared" si="18"/>
        <v>1.6546215952380956</v>
      </c>
      <c r="L184" s="7">
        <v>4</v>
      </c>
      <c r="M184" s="29">
        <f>IF(Ondergrondscenarios[[#This Row],[Scenariotype '[-']]]="Tussenzandlaag",0,VLOOKUP($C184,DataDijkvakken[#All],4,FALSE))</f>
        <v>0</v>
      </c>
      <c r="N184" s="29">
        <f t="shared" si="19"/>
        <v>4</v>
      </c>
      <c r="O184" s="29">
        <f>VLOOKUP($C184,DataDijkvakken!$B:$G,5,FALSE)</f>
        <v>15</v>
      </c>
      <c r="P184" s="29">
        <f>VLOOKUP($C184,DataDijkvakken!$B:$G,6,FALSE)</f>
        <v>37.5</v>
      </c>
      <c r="Q184" s="29">
        <f t="shared" si="20"/>
        <v>15</v>
      </c>
      <c r="R184" s="7">
        <v>60</v>
      </c>
      <c r="S184" s="27"/>
      <c r="T184" s="32">
        <f t="shared" si="21"/>
        <v>0</v>
      </c>
      <c r="U184" s="27"/>
      <c r="V184">
        <f t="shared" si="22"/>
        <v>30.462159523809561</v>
      </c>
      <c r="W184" s="31">
        <f t="shared" si="23"/>
        <v>42.751954007139531</v>
      </c>
      <c r="X184" s="33"/>
      <c r="Y184">
        <f>IF(Ondergrondscenarios[[#This Row],[Scenariotype '[-']]]="-","",IF(Ondergrondscenarios[[#This Row],[Scenariotype '[-']]]="Pleistoceen",VLOOKUP(Ondergrondscenarios[[#This Row],[Vaknaam '[-']]],DataDijkvakken[#All],8,FALSE),VLOOKUP(Ondergrondscenarios[[#This Row],[Vaknaam '[-']]],DataDijkvakken[#All],7,FALSE)))</f>
        <v>2.5999999999999998E-4</v>
      </c>
      <c r="Z184">
        <f>VLOOKUP($C184,DataDijkvakken[#All],3,FALSE)</f>
        <v>18</v>
      </c>
      <c r="AA184" s="8"/>
    </row>
    <row r="185" spans="1:27" x14ac:dyDescent="0.3">
      <c r="A185">
        <f>IFERROR(IF(Ondergrondscenarios[[#This Row],[Scenarionaam '[-']]]="","",A184+1),1)</f>
        <v>184</v>
      </c>
      <c r="B185">
        <f>A187/6</f>
        <v>31</v>
      </c>
      <c r="C185" t="str">
        <f>VLOOKUP(Ondergrondscenarios[[#This Row],[VakID '[-']]],DataDijkvakken!A:I,2,FALSE)</f>
        <v>08b</v>
      </c>
      <c r="D185" s="8" t="str">
        <f>GenererenScenarios!$B$6</f>
        <v>P_S4</v>
      </c>
      <c r="E185" s="8" t="str">
        <f>GenererenScenarios!$C$6</f>
        <v>-</v>
      </c>
      <c r="F185" s="26">
        <v>0</v>
      </c>
      <c r="G185" s="29">
        <f>VLOOKUP($C185,DataDijkvakken!$B:$G,2,FALSE)</f>
        <v>1.1546215952380956</v>
      </c>
      <c r="H185" s="7"/>
      <c r="I185" s="7"/>
      <c r="J185" s="29"/>
      <c r="K185" s="29">
        <f t="shared" si="18"/>
        <v>1.1546215952380956</v>
      </c>
      <c r="L185" s="7"/>
      <c r="M185" s="29">
        <f>IF(Ondergrondscenarios[[#This Row],[Scenariotype '[-']]]="Tussenzandlaag",0,VLOOKUP($C185,DataDijkvakken[#All],4,FALSE))</f>
        <v>37.5</v>
      </c>
      <c r="N185" s="29">
        <f t="shared" si="19"/>
        <v>37.5</v>
      </c>
      <c r="O185" s="29">
        <f>VLOOKUP($C185,DataDijkvakken!$B:$G,5,FALSE)</f>
        <v>15</v>
      </c>
      <c r="P185" s="29">
        <f>VLOOKUP($C185,DataDijkvakken!$B:$G,6,FALSE)</f>
        <v>37.5</v>
      </c>
      <c r="Q185" s="29">
        <f t="shared" si="20"/>
        <v>37.5</v>
      </c>
      <c r="R185" s="7">
        <v>1406.25</v>
      </c>
      <c r="S185" s="27"/>
      <c r="T185" s="32">
        <f t="shared" si="21"/>
        <v>0</v>
      </c>
      <c r="U185" s="27"/>
      <c r="V185">
        <f t="shared" si="22"/>
        <v>11.546215952380955</v>
      </c>
      <c r="W185" s="31">
        <f t="shared" si="23"/>
        <v>127.42396235808914</v>
      </c>
      <c r="X185" s="33"/>
      <c r="Y185" t="str">
        <f>IF(Ondergrondscenarios[[#This Row],[Scenariotype '[-']]]="-","",IF(Ondergrondscenarios[[#This Row],[Scenariotype '[-']]]="Pleistoceen",VLOOKUP(Ondergrondscenarios[[#This Row],[Vaknaam '[-']]],DataDijkvakken[#All],8,FALSE),VLOOKUP(Ondergrondscenarios[[#This Row],[Vaknaam '[-']]],DataDijkvakken[#All],7,FALSE)))</f>
        <v/>
      </c>
      <c r="Z185">
        <f>VLOOKUP($C185,DataDijkvakken[#All],3,FALSE)</f>
        <v>18</v>
      </c>
      <c r="AA185" s="8"/>
    </row>
    <row r="186" spans="1:27" x14ac:dyDescent="0.3">
      <c r="A186">
        <f>IFERROR(IF(Ondergrondscenarios[[#This Row],[Scenarionaam '[-']]]="","",A185+1),1)</f>
        <v>185</v>
      </c>
      <c r="B186">
        <f>A187/6</f>
        <v>31</v>
      </c>
      <c r="C186" t="str">
        <f>VLOOKUP(Ondergrondscenarios[[#This Row],[VakID '[-']]],DataDijkvakken!A:I,2,FALSE)</f>
        <v>08b</v>
      </c>
      <c r="D186" s="8" t="str">
        <f>GenererenScenarios!$B$7</f>
        <v>P_S5</v>
      </c>
      <c r="E186" s="8" t="str">
        <f>GenererenScenarios!$C$7</f>
        <v>-</v>
      </c>
      <c r="F186" s="26">
        <v>0</v>
      </c>
      <c r="G186" s="29">
        <f>VLOOKUP($C186,DataDijkvakken!$B:$G,2,FALSE)</f>
        <v>1.1546215952380956</v>
      </c>
      <c r="H186" s="7"/>
      <c r="I186" s="7"/>
      <c r="J186" s="29"/>
      <c r="K186" s="29">
        <f t="shared" si="18"/>
        <v>1.1546215952380956</v>
      </c>
      <c r="L186" s="7"/>
      <c r="M186" s="29">
        <f>IF(Ondergrondscenarios[[#This Row],[Scenariotype '[-']]]="Tussenzandlaag",0,VLOOKUP($C186,DataDijkvakken[#All],4,FALSE))</f>
        <v>37.5</v>
      </c>
      <c r="N186" s="29">
        <f t="shared" si="19"/>
        <v>37.5</v>
      </c>
      <c r="O186" s="29">
        <f>VLOOKUP($C186,DataDijkvakken!$B:$G,5,FALSE)</f>
        <v>15</v>
      </c>
      <c r="P186" s="29">
        <f>VLOOKUP($C186,DataDijkvakken!$B:$G,6,FALSE)</f>
        <v>37.5</v>
      </c>
      <c r="Q186" s="29">
        <f t="shared" si="20"/>
        <v>37.5</v>
      </c>
      <c r="R186" s="7">
        <v>1406.25</v>
      </c>
      <c r="S186" s="27"/>
      <c r="T186" s="32">
        <f t="shared" si="21"/>
        <v>0</v>
      </c>
      <c r="U186" s="27"/>
      <c r="V186">
        <f t="shared" si="22"/>
        <v>11.546215952380955</v>
      </c>
      <c r="W186" s="31">
        <f t="shared" si="23"/>
        <v>127.42396235808914</v>
      </c>
      <c r="X186" s="33"/>
      <c r="Y186" t="str">
        <f>IF(Ondergrondscenarios[[#This Row],[Scenariotype '[-']]]="-","",IF(Ondergrondscenarios[[#This Row],[Scenariotype '[-']]]="Pleistoceen",VLOOKUP(Ondergrondscenarios[[#This Row],[Vaknaam '[-']]],DataDijkvakken[#All],8,FALSE),VLOOKUP(Ondergrondscenarios[[#This Row],[Vaknaam '[-']]],DataDijkvakken[#All],7,FALSE)))</f>
        <v/>
      </c>
      <c r="Z186">
        <f>VLOOKUP($C186,DataDijkvakken[#All],3,FALSE)</f>
        <v>18</v>
      </c>
      <c r="AA186" s="8"/>
    </row>
    <row r="187" spans="1:27" x14ac:dyDescent="0.3">
      <c r="A187">
        <f>IFERROR(IF(Ondergrondscenarios[[#This Row],[Scenarionaam '[-']]]="","",A186+1),1)</f>
        <v>186</v>
      </c>
      <c r="B187">
        <f>A187/6</f>
        <v>31</v>
      </c>
      <c r="C187" t="str">
        <f>VLOOKUP(Ondergrondscenarios[[#This Row],[VakID '[-']]],DataDijkvakken!A:I,2,FALSE)</f>
        <v>08b</v>
      </c>
      <c r="D187" s="8" t="str">
        <f>GenererenScenarios!$B$8</f>
        <v>P_S6</v>
      </c>
      <c r="E187" s="8" t="str">
        <f>GenererenScenarios!$C$8</f>
        <v>-</v>
      </c>
      <c r="F187" s="26">
        <v>0</v>
      </c>
      <c r="G187" s="29">
        <f>VLOOKUP($C187,DataDijkvakken!$B:$G,2,FALSE)</f>
        <v>1.1546215952380956</v>
      </c>
      <c r="H187" s="7"/>
      <c r="I187" s="7"/>
      <c r="J187" s="29"/>
      <c r="K187" s="29">
        <f t="shared" si="18"/>
        <v>1.1546215952380956</v>
      </c>
      <c r="L187" s="7"/>
      <c r="M187" s="29">
        <f>IF(Ondergrondscenarios[[#This Row],[Scenariotype '[-']]]="Tussenzandlaag",0,VLOOKUP($C187,DataDijkvakken[#All],4,FALSE))</f>
        <v>37.5</v>
      </c>
      <c r="N187" s="29">
        <f t="shared" si="19"/>
        <v>37.5</v>
      </c>
      <c r="O187" s="29">
        <f>VLOOKUP($C187,DataDijkvakken!$B:$G,5,FALSE)</f>
        <v>15</v>
      </c>
      <c r="P187" s="29">
        <f>VLOOKUP($C187,DataDijkvakken!$B:$G,6,FALSE)</f>
        <v>37.5</v>
      </c>
      <c r="Q187" s="29">
        <f t="shared" si="20"/>
        <v>37.5</v>
      </c>
      <c r="R187" s="7">
        <v>1406.25</v>
      </c>
      <c r="S187" s="27"/>
      <c r="T187" s="32">
        <f t="shared" si="21"/>
        <v>0</v>
      </c>
      <c r="U187" s="27"/>
      <c r="V187">
        <f t="shared" si="22"/>
        <v>11.546215952380955</v>
      </c>
      <c r="W187" s="31">
        <f t="shared" si="23"/>
        <v>127.42396235808914</v>
      </c>
      <c r="X187" s="33"/>
      <c r="Y187" t="str">
        <f>IF(Ondergrondscenarios[[#This Row],[Scenariotype '[-']]]="-","",IF(Ondergrondscenarios[[#This Row],[Scenariotype '[-']]]="Pleistoceen",VLOOKUP(Ondergrondscenarios[[#This Row],[Vaknaam '[-']]],DataDijkvakken[#All],8,FALSE),VLOOKUP(Ondergrondscenarios[[#This Row],[Vaknaam '[-']]],DataDijkvakken[#All],7,FALSE)))</f>
        <v/>
      </c>
      <c r="Z187">
        <f>VLOOKUP($C187,DataDijkvakken[#All],3,FALSE)</f>
        <v>18</v>
      </c>
      <c r="AA187" s="8"/>
    </row>
    <row r="188" spans="1:27" x14ac:dyDescent="0.3">
      <c r="A188">
        <f>IFERROR(IF(Ondergrondscenarios[[#This Row],[Scenarionaam '[-']]]="","",A187+1),1)</f>
        <v>187</v>
      </c>
      <c r="B188">
        <f>A193/6</f>
        <v>32</v>
      </c>
      <c r="C188" t="str">
        <f>VLOOKUP(Ondergrondscenarios[[#This Row],[VakID '[-']]],DataDijkvakken!A:I,2,FALSE)</f>
        <v>08c</v>
      </c>
      <c r="D188" s="8" t="str">
        <f>GenererenScenarios!$B$3</f>
        <v>P_S1_PL</v>
      </c>
      <c r="E188" s="8" t="str">
        <f>GenererenScenarios!$C$3</f>
        <v>Pleistoceen</v>
      </c>
      <c r="F188" s="26">
        <v>1</v>
      </c>
      <c r="G188" s="29">
        <f>VLOOKUP($C188,DataDijkvakken!$B:$G,2,FALSE)</f>
        <v>1.1378964333333335</v>
      </c>
      <c r="H188" s="7"/>
      <c r="I188" s="7"/>
      <c r="J188" s="29">
        <v>-6.5</v>
      </c>
      <c r="K188" s="29">
        <f t="shared" si="18"/>
        <v>7.6378964333333332</v>
      </c>
      <c r="L188" s="7">
        <v>0</v>
      </c>
      <c r="M188" s="29">
        <f>IF(Ondergrondscenarios[[#This Row],[Scenariotype '[-']]]="Tussenzandlaag",0,VLOOKUP($C188,DataDijkvakken[#All],4,FALSE))</f>
        <v>37.5</v>
      </c>
      <c r="N188" s="29">
        <f t="shared" si="19"/>
        <v>37.5</v>
      </c>
      <c r="O188" s="29">
        <f>VLOOKUP($C188,DataDijkvakken!$B:$G,5,FALSE)</f>
        <v>15</v>
      </c>
      <c r="P188" s="29">
        <f>VLOOKUP($C188,DataDijkvakken!$B:$G,6,FALSE)</f>
        <v>37.5</v>
      </c>
      <c r="Q188" s="29">
        <f t="shared" si="20"/>
        <v>37.5</v>
      </c>
      <c r="R188" s="7">
        <v>1406.25</v>
      </c>
      <c r="S188" s="27"/>
      <c r="T188" s="32">
        <f t="shared" si="21"/>
        <v>0</v>
      </c>
      <c r="U188" s="27"/>
      <c r="V188">
        <f t="shared" si="22"/>
        <v>628.78964333333329</v>
      </c>
      <c r="W188" s="31">
        <f t="shared" si="23"/>
        <v>940.33793709362806</v>
      </c>
      <c r="X188" s="33"/>
      <c r="Y188">
        <f>IF(Ondergrondscenarios[[#This Row],[Scenariotype '[-']]]="-","",IF(Ondergrondscenarios[[#This Row],[Scenariotype '[-']]]="Pleistoceen",VLOOKUP(Ondergrondscenarios[[#This Row],[Vaknaam '[-']]],DataDijkvakken[#All],8,FALSE),VLOOKUP(Ondergrondscenarios[[#This Row],[Vaknaam '[-']]],DataDijkvakken[#All],7,FALSE)))</f>
        <v>3.5000000000000005E-4</v>
      </c>
      <c r="Z188">
        <f>VLOOKUP($C188,DataDijkvakken[#All],3,FALSE)</f>
        <v>18</v>
      </c>
      <c r="AA188" s="8"/>
    </row>
    <row r="189" spans="1:27" x14ac:dyDescent="0.3">
      <c r="A189">
        <f>IFERROR(IF(Ondergrondscenarios[[#This Row],[Scenarionaam '[-']]]="","",A188+1),1)</f>
        <v>188</v>
      </c>
      <c r="B189">
        <f>A193/6</f>
        <v>32</v>
      </c>
      <c r="C189" t="str">
        <f>VLOOKUP(Ondergrondscenarios[[#This Row],[VakID '[-']]],DataDijkvakken!A:I,2,FALSE)</f>
        <v>08c</v>
      </c>
      <c r="D189" s="8" t="str">
        <f>GenererenScenarios!$B$4</f>
        <v>P_S2_HL_F</v>
      </c>
      <c r="E189" s="8" t="str">
        <f>GenererenScenarios!$C$4</f>
        <v>Holoceen</v>
      </c>
      <c r="F189" s="26">
        <v>0</v>
      </c>
      <c r="G189" s="29">
        <f>VLOOKUP($C189,DataDijkvakken!$B:$G,2,FALSE)</f>
        <v>1.1378964333333335</v>
      </c>
      <c r="H189" s="7"/>
      <c r="I189" s="7"/>
      <c r="J189" s="29"/>
      <c r="K189" s="29">
        <f t="shared" si="18"/>
        <v>1.1378964333333335</v>
      </c>
      <c r="L189" s="7"/>
      <c r="M189" s="29">
        <f>IF(Ondergrondscenarios[[#This Row],[Scenariotype '[-']]]="Tussenzandlaag",0,VLOOKUP($C189,DataDijkvakken[#All],4,FALSE))</f>
        <v>37.5</v>
      </c>
      <c r="N189" s="29">
        <f t="shared" si="19"/>
        <v>37.5</v>
      </c>
      <c r="O189" s="29">
        <f>VLOOKUP($C189,DataDijkvakken!$B:$G,5,FALSE)</f>
        <v>15</v>
      </c>
      <c r="P189" s="29">
        <f>VLOOKUP($C189,DataDijkvakken!$B:$G,6,FALSE)</f>
        <v>37.5</v>
      </c>
      <c r="Q189" s="29">
        <f t="shared" si="20"/>
        <v>37.5</v>
      </c>
      <c r="R189" s="7">
        <v>1406.25</v>
      </c>
      <c r="S189" s="27"/>
      <c r="T189" s="32">
        <f t="shared" si="21"/>
        <v>0</v>
      </c>
      <c r="U189" s="27"/>
      <c r="V189">
        <f t="shared" si="22"/>
        <v>11.378964333333334</v>
      </c>
      <c r="W189" s="31">
        <f t="shared" si="23"/>
        <v>126.49770193070702</v>
      </c>
      <c r="X189" s="33"/>
      <c r="Y189">
        <f>IF(Ondergrondscenarios[[#This Row],[Scenariotype '[-']]]="-","",IF(Ondergrondscenarios[[#This Row],[Scenariotype '[-']]]="Pleistoceen",VLOOKUP(Ondergrondscenarios[[#This Row],[Vaknaam '[-']]],DataDijkvakken[#All],8,FALSE),VLOOKUP(Ondergrondscenarios[[#This Row],[Vaknaam '[-']]],DataDijkvakken[#All],7,FALSE)))</f>
        <v>2.5999999999999998E-4</v>
      </c>
      <c r="Z189">
        <f>VLOOKUP($C189,DataDijkvakken[#All],3,FALSE)</f>
        <v>18</v>
      </c>
      <c r="AA189" s="8"/>
    </row>
    <row r="190" spans="1:27" x14ac:dyDescent="0.3">
      <c r="A190">
        <f>IFERROR(IF(Ondergrondscenarios[[#This Row],[Scenarionaam '[-']]]="","",A189+1),1)</f>
        <v>189</v>
      </c>
      <c r="B190">
        <f>A193/6</f>
        <v>32</v>
      </c>
      <c r="C190" t="str">
        <f>VLOOKUP(Ondergrondscenarios[[#This Row],[VakID '[-']]],DataDijkvakken!A:I,2,FALSE)</f>
        <v>08c</v>
      </c>
      <c r="D190" s="8" t="str">
        <f>GenererenScenarios!$B$5</f>
        <v>P_S3_HL_TZ</v>
      </c>
      <c r="E190" s="8" t="str">
        <f>GenererenScenarios!$C$5</f>
        <v>Tussenzandlaag</v>
      </c>
      <c r="F190" s="26">
        <v>0</v>
      </c>
      <c r="G190" s="29">
        <f>VLOOKUP($C190,DataDijkvakken!$B:$G,2,FALSE)</f>
        <v>1.1378964333333335</v>
      </c>
      <c r="H190" s="7"/>
      <c r="I190" s="7"/>
      <c r="J190" s="29"/>
      <c r="K190" s="29">
        <f t="shared" si="18"/>
        <v>1.1378964333333335</v>
      </c>
      <c r="L190" s="7"/>
      <c r="M190" s="29">
        <f>IF(Ondergrondscenarios[[#This Row],[Scenariotype '[-']]]="Tussenzandlaag",0,VLOOKUP($C190,DataDijkvakken[#All],4,FALSE))</f>
        <v>0</v>
      </c>
      <c r="N190" s="29">
        <f t="shared" si="19"/>
        <v>0.1</v>
      </c>
      <c r="O190" s="29">
        <f>VLOOKUP($C190,DataDijkvakken!$B:$G,5,FALSE)</f>
        <v>15</v>
      </c>
      <c r="P190" s="29">
        <f>VLOOKUP($C190,DataDijkvakken!$B:$G,6,FALSE)</f>
        <v>37.5</v>
      </c>
      <c r="Q190" s="29">
        <f t="shared" si="20"/>
        <v>0.1</v>
      </c>
      <c r="R190" s="7">
        <v>1.0000000000000002E-2</v>
      </c>
      <c r="S190" s="27"/>
      <c r="T190" s="32">
        <f t="shared" si="21"/>
        <v>0</v>
      </c>
      <c r="U190" s="27"/>
      <c r="V190">
        <f t="shared" si="22"/>
        <v>11.378964333333334</v>
      </c>
      <c r="W190" s="31">
        <f t="shared" si="23"/>
        <v>0.33732720514855208</v>
      </c>
      <c r="X190" s="33"/>
      <c r="Y190">
        <f>IF(Ondergrondscenarios[[#This Row],[Scenariotype '[-']]]="-","",IF(Ondergrondscenarios[[#This Row],[Scenariotype '[-']]]="Pleistoceen",VLOOKUP(Ondergrondscenarios[[#This Row],[Vaknaam '[-']]],DataDijkvakken[#All],8,FALSE),VLOOKUP(Ondergrondscenarios[[#This Row],[Vaknaam '[-']]],DataDijkvakken[#All],7,FALSE)))</f>
        <v>2.5999999999999998E-4</v>
      </c>
      <c r="Z190">
        <f>VLOOKUP($C190,DataDijkvakken[#All],3,FALSE)</f>
        <v>18</v>
      </c>
      <c r="AA190" s="8"/>
    </row>
    <row r="191" spans="1:27" x14ac:dyDescent="0.3">
      <c r="A191">
        <f>IFERROR(IF(Ondergrondscenarios[[#This Row],[Scenarionaam '[-']]]="","",A190+1),1)</f>
        <v>190</v>
      </c>
      <c r="B191">
        <f>A193/6</f>
        <v>32</v>
      </c>
      <c r="C191" t="str">
        <f>VLOOKUP(Ondergrondscenarios[[#This Row],[VakID '[-']]],DataDijkvakken!A:I,2,FALSE)</f>
        <v>08c</v>
      </c>
      <c r="D191" s="8" t="str">
        <f>GenererenScenarios!$B$6</f>
        <v>P_S4</v>
      </c>
      <c r="E191" s="8" t="str">
        <f>GenererenScenarios!$C$6</f>
        <v>-</v>
      </c>
      <c r="F191" s="26">
        <v>0</v>
      </c>
      <c r="G191" s="29">
        <f>VLOOKUP($C191,DataDijkvakken!$B:$G,2,FALSE)</f>
        <v>1.1378964333333335</v>
      </c>
      <c r="H191" s="7"/>
      <c r="I191" s="7"/>
      <c r="J191" s="29"/>
      <c r="K191" s="29">
        <f t="shared" si="18"/>
        <v>1.1378964333333335</v>
      </c>
      <c r="L191" s="7"/>
      <c r="M191" s="29">
        <f>IF(Ondergrondscenarios[[#This Row],[Scenariotype '[-']]]="Tussenzandlaag",0,VLOOKUP($C191,DataDijkvakken[#All],4,FALSE))</f>
        <v>37.5</v>
      </c>
      <c r="N191" s="29">
        <f t="shared" si="19"/>
        <v>37.5</v>
      </c>
      <c r="O191" s="29">
        <f>VLOOKUP($C191,DataDijkvakken!$B:$G,5,FALSE)</f>
        <v>15</v>
      </c>
      <c r="P191" s="29">
        <f>VLOOKUP($C191,DataDijkvakken!$B:$G,6,FALSE)</f>
        <v>37.5</v>
      </c>
      <c r="Q191" s="29">
        <f t="shared" si="20"/>
        <v>37.5</v>
      </c>
      <c r="R191" s="7">
        <v>1406.25</v>
      </c>
      <c r="S191" s="27"/>
      <c r="T191" s="32">
        <f t="shared" si="21"/>
        <v>0</v>
      </c>
      <c r="U191" s="27"/>
      <c r="V191">
        <f t="shared" si="22"/>
        <v>11.378964333333334</v>
      </c>
      <c r="W191" s="31">
        <f t="shared" si="23"/>
        <v>126.49770193070702</v>
      </c>
      <c r="X191" s="33"/>
      <c r="Y191" t="str">
        <f>IF(Ondergrondscenarios[[#This Row],[Scenariotype '[-']]]="-","",IF(Ondergrondscenarios[[#This Row],[Scenariotype '[-']]]="Pleistoceen",VLOOKUP(Ondergrondscenarios[[#This Row],[Vaknaam '[-']]],DataDijkvakken[#All],8,FALSE),VLOOKUP(Ondergrondscenarios[[#This Row],[Vaknaam '[-']]],DataDijkvakken[#All],7,FALSE)))</f>
        <v/>
      </c>
      <c r="Z191">
        <f>VLOOKUP($C191,DataDijkvakken[#All],3,FALSE)</f>
        <v>18</v>
      </c>
      <c r="AA191" s="8"/>
    </row>
    <row r="192" spans="1:27" x14ac:dyDescent="0.3">
      <c r="A192">
        <f>IFERROR(IF(Ondergrondscenarios[[#This Row],[Scenarionaam '[-']]]="","",A191+1),1)</f>
        <v>191</v>
      </c>
      <c r="B192">
        <f>A193/6</f>
        <v>32</v>
      </c>
      <c r="C192" t="str">
        <f>VLOOKUP(Ondergrondscenarios[[#This Row],[VakID '[-']]],DataDijkvakken!A:I,2,FALSE)</f>
        <v>08c</v>
      </c>
      <c r="D192" s="8" t="str">
        <f>GenererenScenarios!$B$7</f>
        <v>P_S5</v>
      </c>
      <c r="E192" s="8" t="str">
        <f>GenererenScenarios!$C$7</f>
        <v>-</v>
      </c>
      <c r="F192" s="26">
        <v>0</v>
      </c>
      <c r="G192" s="29">
        <f>VLOOKUP($C192,DataDijkvakken!$B:$G,2,FALSE)</f>
        <v>1.1378964333333335</v>
      </c>
      <c r="H192" s="7"/>
      <c r="I192" s="7"/>
      <c r="J192" s="29"/>
      <c r="K192" s="29">
        <f t="shared" si="18"/>
        <v>1.1378964333333335</v>
      </c>
      <c r="L192" s="7"/>
      <c r="M192" s="29">
        <f>IF(Ondergrondscenarios[[#This Row],[Scenariotype '[-']]]="Tussenzandlaag",0,VLOOKUP($C192,DataDijkvakken[#All],4,FALSE))</f>
        <v>37.5</v>
      </c>
      <c r="N192" s="29">
        <f t="shared" si="19"/>
        <v>37.5</v>
      </c>
      <c r="O192" s="29">
        <f>VLOOKUP($C192,DataDijkvakken!$B:$G,5,FALSE)</f>
        <v>15</v>
      </c>
      <c r="P192" s="29">
        <f>VLOOKUP($C192,DataDijkvakken!$B:$G,6,FALSE)</f>
        <v>37.5</v>
      </c>
      <c r="Q192" s="29">
        <f t="shared" si="20"/>
        <v>37.5</v>
      </c>
      <c r="R192" s="7">
        <v>1406.25</v>
      </c>
      <c r="S192" s="27"/>
      <c r="T192" s="32">
        <f t="shared" si="21"/>
        <v>0</v>
      </c>
      <c r="U192" s="27"/>
      <c r="V192">
        <f t="shared" si="22"/>
        <v>11.378964333333334</v>
      </c>
      <c r="W192" s="31">
        <f t="shared" si="23"/>
        <v>126.49770193070702</v>
      </c>
      <c r="X192" s="33"/>
      <c r="Y192" t="str">
        <f>IF(Ondergrondscenarios[[#This Row],[Scenariotype '[-']]]="-","",IF(Ondergrondscenarios[[#This Row],[Scenariotype '[-']]]="Pleistoceen",VLOOKUP(Ondergrondscenarios[[#This Row],[Vaknaam '[-']]],DataDijkvakken[#All],8,FALSE),VLOOKUP(Ondergrondscenarios[[#This Row],[Vaknaam '[-']]],DataDijkvakken[#All],7,FALSE)))</f>
        <v/>
      </c>
      <c r="Z192">
        <f>VLOOKUP($C192,DataDijkvakken[#All],3,FALSE)</f>
        <v>18</v>
      </c>
      <c r="AA192" s="8"/>
    </row>
    <row r="193" spans="1:27" x14ac:dyDescent="0.3">
      <c r="A193">
        <f>IFERROR(IF(Ondergrondscenarios[[#This Row],[Scenarionaam '[-']]]="","",A192+1),1)</f>
        <v>192</v>
      </c>
      <c r="B193">
        <f>A193/6</f>
        <v>32</v>
      </c>
      <c r="C193" t="str">
        <f>VLOOKUP(Ondergrondscenarios[[#This Row],[VakID '[-']]],DataDijkvakken!A:I,2,FALSE)</f>
        <v>08c</v>
      </c>
      <c r="D193" s="8" t="str">
        <f>GenererenScenarios!$B$8</f>
        <v>P_S6</v>
      </c>
      <c r="E193" s="8" t="str">
        <f>GenererenScenarios!$C$8</f>
        <v>-</v>
      </c>
      <c r="F193" s="26">
        <v>0</v>
      </c>
      <c r="G193" s="29">
        <f>VLOOKUP($C193,DataDijkvakken!$B:$G,2,FALSE)</f>
        <v>1.1378964333333335</v>
      </c>
      <c r="H193" s="7"/>
      <c r="I193" s="7"/>
      <c r="J193" s="29"/>
      <c r="K193" s="29">
        <f t="shared" si="18"/>
        <v>1.1378964333333335</v>
      </c>
      <c r="L193" s="7"/>
      <c r="M193" s="29">
        <f>IF(Ondergrondscenarios[[#This Row],[Scenariotype '[-']]]="Tussenzandlaag",0,VLOOKUP($C193,DataDijkvakken[#All],4,FALSE))</f>
        <v>37.5</v>
      </c>
      <c r="N193" s="29">
        <f t="shared" si="19"/>
        <v>37.5</v>
      </c>
      <c r="O193" s="29">
        <f>VLOOKUP($C193,DataDijkvakken!$B:$G,5,FALSE)</f>
        <v>15</v>
      </c>
      <c r="P193" s="29">
        <f>VLOOKUP($C193,DataDijkvakken!$B:$G,6,FALSE)</f>
        <v>37.5</v>
      </c>
      <c r="Q193" s="29">
        <f t="shared" si="20"/>
        <v>37.5</v>
      </c>
      <c r="R193" s="7">
        <v>1406.25</v>
      </c>
      <c r="S193" s="27"/>
      <c r="T193" s="32">
        <f t="shared" si="21"/>
        <v>0</v>
      </c>
      <c r="U193" s="27"/>
      <c r="V193">
        <f t="shared" si="22"/>
        <v>11.378964333333334</v>
      </c>
      <c r="W193" s="31">
        <f t="shared" si="23"/>
        <v>126.49770193070702</v>
      </c>
      <c r="X193" s="33"/>
      <c r="Y193" t="str">
        <f>IF(Ondergrondscenarios[[#This Row],[Scenariotype '[-']]]="-","",IF(Ondergrondscenarios[[#This Row],[Scenariotype '[-']]]="Pleistoceen",VLOOKUP(Ondergrondscenarios[[#This Row],[Vaknaam '[-']]],DataDijkvakken[#All],8,FALSE),VLOOKUP(Ondergrondscenarios[[#This Row],[Vaknaam '[-']]],DataDijkvakken[#All],7,FALSE)))</f>
        <v/>
      </c>
      <c r="Z193">
        <f>VLOOKUP($C193,DataDijkvakken[#All],3,FALSE)</f>
        <v>18</v>
      </c>
      <c r="AA193" s="8"/>
    </row>
    <row r="194" spans="1:27" x14ac:dyDescent="0.3">
      <c r="A194">
        <f>IFERROR(IF(Ondergrondscenarios[[#This Row],[Scenarionaam '[-']]]="","",A193+1),1)</f>
        <v>193</v>
      </c>
      <c r="B194">
        <f>A199/6</f>
        <v>33</v>
      </c>
      <c r="C194" t="str">
        <f>VLOOKUP(Ondergrondscenarios[[#This Row],[VakID '[-']]],DataDijkvakken!A:I,2,FALSE)</f>
        <v>08d</v>
      </c>
      <c r="D194" s="8" t="str">
        <f>GenererenScenarios!$B$3</f>
        <v>P_S1_PL</v>
      </c>
      <c r="E194" s="8" t="str">
        <f>GenererenScenarios!$C$3</f>
        <v>Pleistoceen</v>
      </c>
      <c r="F194" s="26">
        <v>0.5</v>
      </c>
      <c r="G194" s="29">
        <f>VLOOKUP($C194,DataDijkvakken!$B:$G,2,FALSE)</f>
        <v>1.3557444074074072</v>
      </c>
      <c r="H194" s="7"/>
      <c r="I194" s="7"/>
      <c r="J194" s="29">
        <v>-7</v>
      </c>
      <c r="K194" s="29">
        <f t="shared" si="18"/>
        <v>8.355744407407407</v>
      </c>
      <c r="L194" s="7">
        <v>0</v>
      </c>
      <c r="M194" s="29">
        <f>IF(Ondergrondscenarios[[#This Row],[Scenariotype '[-']]]="Tussenzandlaag",0,VLOOKUP($C194,DataDijkvakken[#All],4,FALSE))</f>
        <v>37.5</v>
      </c>
      <c r="N194" s="29">
        <f t="shared" si="19"/>
        <v>37.5</v>
      </c>
      <c r="O194" s="29">
        <f>VLOOKUP($C194,DataDijkvakken!$B:$G,5,FALSE)</f>
        <v>15</v>
      </c>
      <c r="P194" s="29">
        <f>VLOOKUP($C194,DataDijkvakken!$B:$G,6,FALSE)</f>
        <v>37.5</v>
      </c>
      <c r="Q194" s="29">
        <f t="shared" si="20"/>
        <v>37.5</v>
      </c>
      <c r="R194" s="7">
        <v>1406.25</v>
      </c>
      <c r="S194" s="27"/>
      <c r="T194" s="32">
        <f t="shared" si="21"/>
        <v>0</v>
      </c>
      <c r="U194" s="27"/>
      <c r="V194">
        <f t="shared" si="22"/>
        <v>700.57444074074067</v>
      </c>
      <c r="W194" s="31">
        <f t="shared" si="23"/>
        <v>992.56375477430493</v>
      </c>
      <c r="X194" s="33"/>
      <c r="Y194">
        <f>IF(Ondergrondscenarios[[#This Row],[Scenariotype '[-']]]="-","",IF(Ondergrondscenarios[[#This Row],[Scenariotype '[-']]]="Pleistoceen",VLOOKUP(Ondergrondscenarios[[#This Row],[Vaknaam '[-']]],DataDijkvakken[#All],8,FALSE),VLOOKUP(Ondergrondscenarios[[#This Row],[Vaknaam '[-']]],DataDijkvakken[#All],7,FALSE)))</f>
        <v>3.5000000000000005E-4</v>
      </c>
      <c r="Z194">
        <f>VLOOKUP($C194,DataDijkvakken[#All],3,FALSE)</f>
        <v>18</v>
      </c>
      <c r="AA194" s="8"/>
    </row>
    <row r="195" spans="1:27" x14ac:dyDescent="0.3">
      <c r="A195">
        <f>IFERROR(IF(Ondergrondscenarios[[#This Row],[Scenarionaam '[-']]]="","",A194+1),1)</f>
        <v>194</v>
      </c>
      <c r="B195">
        <f>A199/6</f>
        <v>33</v>
      </c>
      <c r="C195" t="str">
        <f>VLOOKUP(Ondergrondscenarios[[#This Row],[VakID '[-']]],DataDijkvakken!A:I,2,FALSE)</f>
        <v>08d</v>
      </c>
      <c r="D195" s="8" t="str">
        <f>GenererenScenarios!$B$4</f>
        <v>P_S2_HL_F</v>
      </c>
      <c r="E195" s="8" t="str">
        <f>GenererenScenarios!$C$4</f>
        <v>Holoceen</v>
      </c>
      <c r="F195" s="26">
        <v>0.5</v>
      </c>
      <c r="G195" s="29">
        <f>VLOOKUP($C195,DataDijkvakken!$B:$G,2,FALSE)</f>
        <v>1.3557444074074072</v>
      </c>
      <c r="H195" s="7"/>
      <c r="I195" s="7"/>
      <c r="J195" s="29">
        <v>-1</v>
      </c>
      <c r="K195" s="29">
        <f t="shared" si="18"/>
        <v>2.355744407407407</v>
      </c>
      <c r="L195" s="7">
        <v>6</v>
      </c>
      <c r="M195" s="29">
        <f>IF(Ondergrondscenarios[[#This Row],[Scenariotype '[-']]]="Tussenzandlaag",0,VLOOKUP($C195,DataDijkvakken[#All],4,FALSE))</f>
        <v>37.5</v>
      </c>
      <c r="N195" s="29">
        <f t="shared" si="19"/>
        <v>43.5</v>
      </c>
      <c r="O195" s="29">
        <f>VLOOKUP($C195,DataDijkvakken!$B:$G,5,FALSE)</f>
        <v>15</v>
      </c>
      <c r="P195" s="29">
        <f>VLOOKUP($C195,DataDijkvakken!$B:$G,6,FALSE)</f>
        <v>37.5</v>
      </c>
      <c r="Q195" s="29">
        <f t="shared" si="20"/>
        <v>34.396551724137929</v>
      </c>
      <c r="R195" s="7">
        <v>1496.25</v>
      </c>
      <c r="S195" s="27"/>
      <c r="T195" s="32">
        <f t="shared" si="21"/>
        <v>0</v>
      </c>
      <c r="U195" s="27"/>
      <c r="V195">
        <f t="shared" si="22"/>
        <v>100.5744407407407</v>
      </c>
      <c r="W195" s="31">
        <f t="shared" si="23"/>
        <v>387.92332613331371</v>
      </c>
      <c r="X195" s="33"/>
      <c r="Y195">
        <f>IF(Ondergrondscenarios[[#This Row],[Scenariotype '[-']]]="-","",IF(Ondergrondscenarios[[#This Row],[Scenariotype '[-']]]="Pleistoceen",VLOOKUP(Ondergrondscenarios[[#This Row],[Vaknaam '[-']]],DataDijkvakken[#All],8,FALSE),VLOOKUP(Ondergrondscenarios[[#This Row],[Vaknaam '[-']]],DataDijkvakken[#All],7,FALSE)))</f>
        <v>2.5999999999999998E-4</v>
      </c>
      <c r="Z195">
        <f>VLOOKUP($C195,DataDijkvakken[#All],3,FALSE)</f>
        <v>18</v>
      </c>
      <c r="AA195" s="8"/>
    </row>
    <row r="196" spans="1:27" x14ac:dyDescent="0.3">
      <c r="A196">
        <f>IFERROR(IF(Ondergrondscenarios[[#This Row],[Scenarionaam '[-']]]="","",A195+1),1)</f>
        <v>195</v>
      </c>
      <c r="B196">
        <f>A199/6</f>
        <v>33</v>
      </c>
      <c r="C196" t="str">
        <f>VLOOKUP(Ondergrondscenarios[[#This Row],[VakID '[-']]],DataDijkvakken!A:I,2,FALSE)</f>
        <v>08d</v>
      </c>
      <c r="D196" s="8" t="str">
        <f>GenererenScenarios!$B$5</f>
        <v>P_S3_HL_TZ</v>
      </c>
      <c r="E196" s="8" t="str">
        <f>GenererenScenarios!$C$5</f>
        <v>Tussenzandlaag</v>
      </c>
      <c r="F196" s="26">
        <v>0</v>
      </c>
      <c r="G196" s="29">
        <f>VLOOKUP($C196,DataDijkvakken!$B:$G,2,FALSE)</f>
        <v>1.3557444074074072</v>
      </c>
      <c r="H196" s="7"/>
      <c r="I196" s="7"/>
      <c r="J196" s="29"/>
      <c r="K196" s="29">
        <f t="shared" si="18"/>
        <v>1.3557444074074072</v>
      </c>
      <c r="L196" s="7"/>
      <c r="M196" s="29">
        <f>IF(Ondergrondscenarios[[#This Row],[Scenariotype '[-']]]="Tussenzandlaag",0,VLOOKUP($C196,DataDijkvakken[#All],4,FALSE))</f>
        <v>0</v>
      </c>
      <c r="N196" s="29">
        <f t="shared" si="19"/>
        <v>0.1</v>
      </c>
      <c r="O196" s="29">
        <f>VLOOKUP($C196,DataDijkvakken!$B:$G,5,FALSE)</f>
        <v>15</v>
      </c>
      <c r="P196" s="29">
        <f>VLOOKUP($C196,DataDijkvakken!$B:$G,6,FALSE)</f>
        <v>37.5</v>
      </c>
      <c r="Q196" s="29">
        <f t="shared" si="20"/>
        <v>0.1</v>
      </c>
      <c r="R196" s="7">
        <v>1.0000000000000002E-2</v>
      </c>
      <c r="S196" s="27"/>
      <c r="T196" s="32">
        <f t="shared" si="21"/>
        <v>0</v>
      </c>
      <c r="U196" s="27"/>
      <c r="V196">
        <f t="shared" si="22"/>
        <v>13.557444074074072</v>
      </c>
      <c r="W196" s="31">
        <f t="shared" si="23"/>
        <v>0.3682043464446621</v>
      </c>
      <c r="X196" s="33"/>
      <c r="Y196">
        <f>IF(Ondergrondscenarios[[#This Row],[Scenariotype '[-']]]="-","",IF(Ondergrondscenarios[[#This Row],[Scenariotype '[-']]]="Pleistoceen",VLOOKUP(Ondergrondscenarios[[#This Row],[Vaknaam '[-']]],DataDijkvakken[#All],8,FALSE),VLOOKUP(Ondergrondscenarios[[#This Row],[Vaknaam '[-']]],DataDijkvakken[#All],7,FALSE)))</f>
        <v>2.5999999999999998E-4</v>
      </c>
      <c r="Z196">
        <f>VLOOKUP($C196,DataDijkvakken[#All],3,FALSE)</f>
        <v>18</v>
      </c>
      <c r="AA196" s="8"/>
    </row>
    <row r="197" spans="1:27" x14ac:dyDescent="0.3">
      <c r="A197">
        <f>IFERROR(IF(Ondergrondscenarios[[#This Row],[Scenarionaam '[-']]]="","",A196+1),1)</f>
        <v>196</v>
      </c>
      <c r="B197">
        <f>A199/6</f>
        <v>33</v>
      </c>
      <c r="C197" t="str">
        <f>VLOOKUP(Ondergrondscenarios[[#This Row],[VakID '[-']]],DataDijkvakken!A:I,2,FALSE)</f>
        <v>08d</v>
      </c>
      <c r="D197" s="8" t="str">
        <f>GenererenScenarios!$B$6</f>
        <v>P_S4</v>
      </c>
      <c r="E197" s="8" t="str">
        <f>GenererenScenarios!$C$6</f>
        <v>-</v>
      </c>
      <c r="F197" s="26">
        <v>0</v>
      </c>
      <c r="G197" s="29">
        <f>VLOOKUP($C197,DataDijkvakken!$B:$G,2,FALSE)</f>
        <v>1.3557444074074072</v>
      </c>
      <c r="H197" s="7"/>
      <c r="I197" s="7"/>
      <c r="J197" s="29"/>
      <c r="K197" s="29">
        <f t="shared" si="18"/>
        <v>1.3557444074074072</v>
      </c>
      <c r="L197" s="7"/>
      <c r="M197" s="29">
        <f>IF(Ondergrondscenarios[[#This Row],[Scenariotype '[-']]]="Tussenzandlaag",0,VLOOKUP($C197,DataDijkvakken[#All],4,FALSE))</f>
        <v>37.5</v>
      </c>
      <c r="N197" s="29">
        <f t="shared" si="19"/>
        <v>37.5</v>
      </c>
      <c r="O197" s="29">
        <f>VLOOKUP($C197,DataDijkvakken!$B:$G,5,FALSE)</f>
        <v>15</v>
      </c>
      <c r="P197" s="29">
        <f>VLOOKUP($C197,DataDijkvakken!$B:$G,6,FALSE)</f>
        <v>37.5</v>
      </c>
      <c r="Q197" s="29">
        <f t="shared" si="20"/>
        <v>37.5</v>
      </c>
      <c r="R197" s="7">
        <v>1406.25</v>
      </c>
      <c r="S197" s="27"/>
      <c r="T197" s="32">
        <f t="shared" si="21"/>
        <v>0</v>
      </c>
      <c r="U197" s="27"/>
      <c r="V197">
        <f t="shared" si="22"/>
        <v>13.557444074074072</v>
      </c>
      <c r="W197" s="31">
        <f t="shared" si="23"/>
        <v>138.07662991674829</v>
      </c>
      <c r="X197" s="33"/>
      <c r="Y197" t="str">
        <f>IF(Ondergrondscenarios[[#This Row],[Scenariotype '[-']]]="-","",IF(Ondergrondscenarios[[#This Row],[Scenariotype '[-']]]="Pleistoceen",VLOOKUP(Ondergrondscenarios[[#This Row],[Vaknaam '[-']]],DataDijkvakken[#All],8,FALSE),VLOOKUP(Ondergrondscenarios[[#This Row],[Vaknaam '[-']]],DataDijkvakken[#All],7,FALSE)))</f>
        <v/>
      </c>
      <c r="Z197">
        <f>VLOOKUP($C197,DataDijkvakken[#All],3,FALSE)</f>
        <v>18</v>
      </c>
      <c r="AA197" s="8"/>
    </row>
    <row r="198" spans="1:27" x14ac:dyDescent="0.3">
      <c r="A198">
        <f>IFERROR(IF(Ondergrondscenarios[[#This Row],[Scenarionaam '[-']]]="","",A197+1),1)</f>
        <v>197</v>
      </c>
      <c r="B198">
        <f>A199/6</f>
        <v>33</v>
      </c>
      <c r="C198" t="str">
        <f>VLOOKUP(Ondergrondscenarios[[#This Row],[VakID '[-']]],DataDijkvakken!A:I,2,FALSE)</f>
        <v>08d</v>
      </c>
      <c r="D198" s="8" t="str">
        <f>GenererenScenarios!$B$7</f>
        <v>P_S5</v>
      </c>
      <c r="E198" s="8" t="str">
        <f>GenererenScenarios!$C$7</f>
        <v>-</v>
      </c>
      <c r="F198" s="26">
        <v>0</v>
      </c>
      <c r="G198" s="29">
        <f>VLOOKUP($C198,DataDijkvakken!$B:$G,2,FALSE)</f>
        <v>1.3557444074074072</v>
      </c>
      <c r="H198" s="7"/>
      <c r="I198" s="7"/>
      <c r="J198" s="29"/>
      <c r="K198" s="29">
        <f t="shared" si="18"/>
        <v>1.3557444074074072</v>
      </c>
      <c r="L198" s="7"/>
      <c r="M198" s="29">
        <f>IF(Ondergrondscenarios[[#This Row],[Scenariotype '[-']]]="Tussenzandlaag",0,VLOOKUP($C198,DataDijkvakken[#All],4,FALSE))</f>
        <v>37.5</v>
      </c>
      <c r="N198" s="29">
        <f t="shared" si="19"/>
        <v>37.5</v>
      </c>
      <c r="O198" s="29">
        <f>VLOOKUP($C198,DataDijkvakken!$B:$G,5,FALSE)</f>
        <v>15</v>
      </c>
      <c r="P198" s="29">
        <f>VLOOKUP($C198,DataDijkvakken!$B:$G,6,FALSE)</f>
        <v>37.5</v>
      </c>
      <c r="Q198" s="29">
        <f t="shared" si="20"/>
        <v>37.5</v>
      </c>
      <c r="R198" s="7">
        <v>1406.25</v>
      </c>
      <c r="S198" s="27"/>
      <c r="T198" s="32">
        <f t="shared" si="21"/>
        <v>0</v>
      </c>
      <c r="U198" s="27"/>
      <c r="V198">
        <f t="shared" si="22"/>
        <v>13.557444074074072</v>
      </c>
      <c r="W198" s="31">
        <f t="shared" si="23"/>
        <v>138.07662991674829</v>
      </c>
      <c r="X198" s="33"/>
      <c r="Y198" t="str">
        <f>IF(Ondergrondscenarios[[#This Row],[Scenariotype '[-']]]="-","",IF(Ondergrondscenarios[[#This Row],[Scenariotype '[-']]]="Pleistoceen",VLOOKUP(Ondergrondscenarios[[#This Row],[Vaknaam '[-']]],DataDijkvakken[#All],8,FALSE),VLOOKUP(Ondergrondscenarios[[#This Row],[Vaknaam '[-']]],DataDijkvakken[#All],7,FALSE)))</f>
        <v/>
      </c>
      <c r="Z198">
        <f>VLOOKUP($C198,DataDijkvakken[#All],3,FALSE)</f>
        <v>18</v>
      </c>
      <c r="AA198" s="8"/>
    </row>
    <row r="199" spans="1:27" x14ac:dyDescent="0.3">
      <c r="A199">
        <f>IFERROR(IF(Ondergrondscenarios[[#This Row],[Scenarionaam '[-']]]="","",A198+1),1)</f>
        <v>198</v>
      </c>
      <c r="B199">
        <f>A199/6</f>
        <v>33</v>
      </c>
      <c r="C199" t="str">
        <f>VLOOKUP(Ondergrondscenarios[[#This Row],[VakID '[-']]],DataDijkvakken!A:I,2,FALSE)</f>
        <v>08d</v>
      </c>
      <c r="D199" s="8" t="str">
        <f>GenererenScenarios!$B$8</f>
        <v>P_S6</v>
      </c>
      <c r="E199" s="8" t="str">
        <f>GenererenScenarios!$C$8</f>
        <v>-</v>
      </c>
      <c r="F199" s="26">
        <v>0</v>
      </c>
      <c r="G199" s="29">
        <f>VLOOKUP($C199,DataDijkvakken!$B:$G,2,FALSE)</f>
        <v>1.3557444074074072</v>
      </c>
      <c r="H199" s="7"/>
      <c r="I199" s="7"/>
      <c r="J199" s="29"/>
      <c r="K199" s="29">
        <f t="shared" si="18"/>
        <v>1.3557444074074072</v>
      </c>
      <c r="L199" s="7"/>
      <c r="M199" s="29">
        <f>IF(Ondergrondscenarios[[#This Row],[Scenariotype '[-']]]="Tussenzandlaag",0,VLOOKUP($C199,DataDijkvakken[#All],4,FALSE))</f>
        <v>37.5</v>
      </c>
      <c r="N199" s="29">
        <f t="shared" si="19"/>
        <v>37.5</v>
      </c>
      <c r="O199" s="29">
        <f>VLOOKUP($C199,DataDijkvakken!$B:$G,5,FALSE)</f>
        <v>15</v>
      </c>
      <c r="P199" s="29">
        <f>VLOOKUP($C199,DataDijkvakken!$B:$G,6,FALSE)</f>
        <v>37.5</v>
      </c>
      <c r="Q199" s="29">
        <f t="shared" si="20"/>
        <v>37.5</v>
      </c>
      <c r="R199" s="7">
        <v>1406.25</v>
      </c>
      <c r="S199" s="27"/>
      <c r="T199" s="32">
        <f t="shared" si="21"/>
        <v>0</v>
      </c>
      <c r="U199" s="27"/>
      <c r="V199">
        <f t="shared" si="22"/>
        <v>13.557444074074072</v>
      </c>
      <c r="W199" s="31">
        <f t="shared" si="23"/>
        <v>138.07662991674829</v>
      </c>
      <c r="X199" s="33"/>
      <c r="Y199" t="str">
        <f>IF(Ondergrondscenarios[[#This Row],[Scenariotype '[-']]]="-","",IF(Ondergrondscenarios[[#This Row],[Scenariotype '[-']]]="Pleistoceen",VLOOKUP(Ondergrondscenarios[[#This Row],[Vaknaam '[-']]],DataDijkvakken[#All],8,FALSE),VLOOKUP(Ondergrondscenarios[[#This Row],[Vaknaam '[-']]],DataDijkvakken[#All],7,FALSE)))</f>
        <v/>
      </c>
      <c r="Z199">
        <f>VLOOKUP($C199,DataDijkvakken[#All],3,FALSE)</f>
        <v>18</v>
      </c>
      <c r="AA199" s="8"/>
    </row>
    <row r="200" spans="1:27" x14ac:dyDescent="0.3">
      <c r="A200">
        <f>IFERROR(IF(Ondergrondscenarios[[#This Row],[Scenarionaam '[-']]]="","",A199+1),1)</f>
        <v>199</v>
      </c>
      <c r="B200">
        <f>A205/6</f>
        <v>34</v>
      </c>
      <c r="C200" t="str">
        <f>VLOOKUP(Ondergrondscenarios[[#This Row],[VakID '[-']]],DataDijkvakken!A:I,2,FALSE)</f>
        <v>09a</v>
      </c>
      <c r="D200" s="8" t="str">
        <f>GenererenScenarios!$B$3</f>
        <v>P_S1_PL</v>
      </c>
      <c r="E200" s="8" t="str">
        <f>GenererenScenarios!$C$3</f>
        <v>Pleistoceen</v>
      </c>
      <c r="F200" s="26">
        <v>0.5</v>
      </c>
      <c r="G200" s="29">
        <f>VLOOKUP($C200,DataDijkvakken!$B:$G,2,FALSE)</f>
        <v>1.0465527027027026</v>
      </c>
      <c r="H200" s="7"/>
      <c r="I200" s="7"/>
      <c r="J200" s="29">
        <v>-6.5</v>
      </c>
      <c r="K200" s="29">
        <f t="shared" ref="K200:K263" si="24">IFERROR(MAX(G200-J200,0),"")</f>
        <v>7.5465527027027024</v>
      </c>
      <c r="L200" s="7">
        <v>0</v>
      </c>
      <c r="M200" s="29">
        <f>IF(Ondergrondscenarios[[#This Row],[Scenariotype '[-']]]="Tussenzandlaag",0,VLOOKUP($C200,DataDijkvakken[#All],4,FALSE))</f>
        <v>37.5</v>
      </c>
      <c r="N200" s="29">
        <f t="shared" ref="N200:N263" si="25">MAX(M200+L200,0.1)</f>
        <v>37.5</v>
      </c>
      <c r="O200" s="29">
        <f>VLOOKUP($C200,DataDijkvakken!$B:$G,5,FALSE)</f>
        <v>15</v>
      </c>
      <c r="P200" s="29">
        <f>VLOOKUP($C200,DataDijkvakken!$B:$G,6,FALSE)</f>
        <v>37.5</v>
      </c>
      <c r="Q200" s="29">
        <f t="shared" ref="Q200:Q263" si="26">MAX(((L200*O200)+(M200*P200))/N200,0.1)</f>
        <v>37.5</v>
      </c>
      <c r="R200" s="7">
        <v>1406.25</v>
      </c>
      <c r="S200" s="27"/>
      <c r="T200" s="32">
        <f t="shared" ref="T200:T263" si="27">SQRT(R200*S200)</f>
        <v>0</v>
      </c>
      <c r="U200" s="27"/>
      <c r="V200">
        <f t="shared" ref="V200:V263" si="28">IFERROR(IF(K200&lt;grensDikte,K200/doorlatendheidDunneDeklaag,(grensDikte/doorlatendheidDunneDeklaag)+((K200-grensDikte)/doorlatendheidDikkeDeklaag)),"")</f>
        <v>619.65527027027019</v>
      </c>
      <c r="W200" s="31">
        <f t="shared" ref="W200:W263" si="29">IFERROR(IF(U200="",SQRT(R200*V200),SQRT(R200*U200)),"")</f>
        <v>933.48284602212561</v>
      </c>
      <c r="X200" s="33"/>
      <c r="Y200">
        <f>IF(Ondergrondscenarios[[#This Row],[Scenariotype '[-']]]="-","",IF(Ondergrondscenarios[[#This Row],[Scenariotype '[-']]]="Pleistoceen",VLOOKUP(Ondergrondscenarios[[#This Row],[Vaknaam '[-']]],DataDijkvakken[#All],8,FALSE),VLOOKUP(Ondergrondscenarios[[#This Row],[Vaknaam '[-']]],DataDijkvakken[#All],7,FALSE)))</f>
        <v>3.5000000000000005E-4</v>
      </c>
      <c r="Z200">
        <f>VLOOKUP($C200,DataDijkvakken[#All],3,FALSE)</f>
        <v>18</v>
      </c>
      <c r="AA200" s="8"/>
    </row>
    <row r="201" spans="1:27" x14ac:dyDescent="0.3">
      <c r="A201">
        <f>IFERROR(IF(Ondergrondscenarios[[#This Row],[Scenarionaam '[-']]]="","",A200+1),1)</f>
        <v>200</v>
      </c>
      <c r="B201">
        <f>A205/6</f>
        <v>34</v>
      </c>
      <c r="C201" t="str">
        <f>VLOOKUP(Ondergrondscenarios[[#This Row],[VakID '[-']]],DataDijkvakken!A:I,2,FALSE)</f>
        <v>09a</v>
      </c>
      <c r="D201" s="8" t="str">
        <f>GenererenScenarios!$B$4</f>
        <v>P_S2_HL_F</v>
      </c>
      <c r="E201" s="8" t="str">
        <f>GenererenScenarios!$C$4</f>
        <v>Holoceen</v>
      </c>
      <c r="F201" s="26">
        <v>0.25</v>
      </c>
      <c r="G201" s="29">
        <f>VLOOKUP($C201,DataDijkvakken!$B:$G,2,FALSE)</f>
        <v>1.0465527027027026</v>
      </c>
      <c r="H201" s="7"/>
      <c r="I201" s="7"/>
      <c r="J201" s="29">
        <v>-2</v>
      </c>
      <c r="K201" s="29">
        <f t="shared" si="24"/>
        <v>3.0465527027027024</v>
      </c>
      <c r="L201" s="7">
        <v>4.5</v>
      </c>
      <c r="M201" s="29">
        <f>IF(Ondergrondscenarios[[#This Row],[Scenariotype '[-']]]="Tussenzandlaag",0,VLOOKUP($C201,DataDijkvakken[#All],4,FALSE))</f>
        <v>37.5</v>
      </c>
      <c r="N201" s="29">
        <f t="shared" si="25"/>
        <v>42</v>
      </c>
      <c r="O201" s="29">
        <f>VLOOKUP($C201,DataDijkvakken!$B:$G,5,FALSE)</f>
        <v>15</v>
      </c>
      <c r="P201" s="29">
        <f>VLOOKUP($C201,DataDijkvakken!$B:$G,6,FALSE)</f>
        <v>37.5</v>
      </c>
      <c r="Q201" s="29">
        <f t="shared" si="26"/>
        <v>35.089285714285715</v>
      </c>
      <c r="R201" s="7">
        <v>1473.75</v>
      </c>
      <c r="S201" s="27"/>
      <c r="T201" s="32">
        <f t="shared" si="27"/>
        <v>0</v>
      </c>
      <c r="U201" s="27"/>
      <c r="V201">
        <f t="shared" si="28"/>
        <v>169.65527027027025</v>
      </c>
      <c r="W201" s="31">
        <f t="shared" si="29"/>
        <v>500.02945369329075</v>
      </c>
      <c r="X201" s="33"/>
      <c r="Y201">
        <f>IF(Ondergrondscenarios[[#This Row],[Scenariotype '[-']]]="-","",IF(Ondergrondscenarios[[#This Row],[Scenariotype '[-']]]="Pleistoceen",VLOOKUP(Ondergrondscenarios[[#This Row],[Vaknaam '[-']]],DataDijkvakken[#All],8,FALSE),VLOOKUP(Ondergrondscenarios[[#This Row],[Vaknaam '[-']]],DataDijkvakken[#All],7,FALSE)))</f>
        <v>2.5999999999999998E-4</v>
      </c>
      <c r="Z201">
        <f>VLOOKUP($C201,DataDijkvakken[#All],3,FALSE)</f>
        <v>18</v>
      </c>
      <c r="AA201" s="8"/>
    </row>
    <row r="202" spans="1:27" x14ac:dyDescent="0.3">
      <c r="A202">
        <f>IFERROR(IF(Ondergrondscenarios[[#This Row],[Scenarionaam '[-']]]="","",A201+1),1)</f>
        <v>201</v>
      </c>
      <c r="B202">
        <f>A205/6</f>
        <v>34</v>
      </c>
      <c r="C202" t="str">
        <f>VLOOKUP(Ondergrondscenarios[[#This Row],[VakID '[-']]],DataDijkvakken!A:I,2,FALSE)</f>
        <v>09a</v>
      </c>
      <c r="D202" s="8" t="str">
        <f>GenererenScenarios!$B$5</f>
        <v>P_S3_HL_TZ</v>
      </c>
      <c r="E202" s="8" t="str">
        <f>GenererenScenarios!$C$5</f>
        <v>Tussenzandlaag</v>
      </c>
      <c r="F202" s="26">
        <v>0.25</v>
      </c>
      <c r="G202" s="29">
        <f>VLOOKUP($C202,DataDijkvakken!$B:$G,2,FALSE)</f>
        <v>1.0465527027027026</v>
      </c>
      <c r="H202" s="7"/>
      <c r="I202" s="7"/>
      <c r="J202" s="29">
        <v>-2</v>
      </c>
      <c r="K202" s="29">
        <f t="shared" si="24"/>
        <v>3.0465527027027024</v>
      </c>
      <c r="L202" s="7">
        <v>2.5</v>
      </c>
      <c r="M202" s="29">
        <f>IF(Ondergrondscenarios[[#This Row],[Scenariotype '[-']]]="Tussenzandlaag",0,VLOOKUP($C202,DataDijkvakken[#All],4,FALSE))</f>
        <v>0</v>
      </c>
      <c r="N202" s="29">
        <f t="shared" si="25"/>
        <v>2.5</v>
      </c>
      <c r="O202" s="29">
        <f>VLOOKUP($C202,DataDijkvakken!$B:$G,5,FALSE)</f>
        <v>15</v>
      </c>
      <c r="P202" s="29">
        <f>VLOOKUP($C202,DataDijkvakken!$B:$G,6,FALSE)</f>
        <v>37.5</v>
      </c>
      <c r="Q202" s="29">
        <f t="shared" si="26"/>
        <v>15</v>
      </c>
      <c r="R202" s="7">
        <v>37.5</v>
      </c>
      <c r="S202" s="27"/>
      <c r="T202" s="32">
        <f t="shared" si="27"/>
        <v>0</v>
      </c>
      <c r="U202" s="27"/>
      <c r="V202">
        <f t="shared" si="28"/>
        <v>169.65527027027025</v>
      </c>
      <c r="W202" s="31">
        <f t="shared" si="29"/>
        <v>79.76260173248572</v>
      </c>
      <c r="X202" s="33"/>
      <c r="Y202">
        <f>IF(Ondergrondscenarios[[#This Row],[Scenariotype '[-']]]="-","",IF(Ondergrondscenarios[[#This Row],[Scenariotype '[-']]]="Pleistoceen",VLOOKUP(Ondergrondscenarios[[#This Row],[Vaknaam '[-']]],DataDijkvakken[#All],8,FALSE),VLOOKUP(Ondergrondscenarios[[#This Row],[Vaknaam '[-']]],DataDijkvakken[#All],7,FALSE)))</f>
        <v>2.5999999999999998E-4</v>
      </c>
      <c r="Z202">
        <f>VLOOKUP($C202,DataDijkvakken[#All],3,FALSE)</f>
        <v>18</v>
      </c>
      <c r="AA202" s="8"/>
    </row>
    <row r="203" spans="1:27" x14ac:dyDescent="0.3">
      <c r="A203">
        <f>IFERROR(IF(Ondergrondscenarios[[#This Row],[Scenarionaam '[-']]]="","",A202+1),1)</f>
        <v>202</v>
      </c>
      <c r="B203">
        <f>A205/6</f>
        <v>34</v>
      </c>
      <c r="C203" t="str">
        <f>VLOOKUP(Ondergrondscenarios[[#This Row],[VakID '[-']]],DataDijkvakken!A:I,2,FALSE)</f>
        <v>09a</v>
      </c>
      <c r="D203" s="8" t="str">
        <f>GenererenScenarios!$B$6</f>
        <v>P_S4</v>
      </c>
      <c r="E203" s="8" t="str">
        <f>GenererenScenarios!$C$6</f>
        <v>-</v>
      </c>
      <c r="F203" s="26">
        <v>0</v>
      </c>
      <c r="G203" s="29">
        <f>VLOOKUP($C203,DataDijkvakken!$B:$G,2,FALSE)</f>
        <v>1.0465527027027026</v>
      </c>
      <c r="H203" s="7"/>
      <c r="I203" s="7"/>
      <c r="J203" s="29"/>
      <c r="K203" s="29">
        <f t="shared" si="24"/>
        <v>1.0465527027027026</v>
      </c>
      <c r="L203" s="7"/>
      <c r="M203" s="29">
        <f>IF(Ondergrondscenarios[[#This Row],[Scenariotype '[-']]]="Tussenzandlaag",0,VLOOKUP($C203,DataDijkvakken[#All],4,FALSE))</f>
        <v>37.5</v>
      </c>
      <c r="N203" s="29">
        <f t="shared" si="25"/>
        <v>37.5</v>
      </c>
      <c r="O203" s="29">
        <f>VLOOKUP($C203,DataDijkvakken!$B:$G,5,FALSE)</f>
        <v>15</v>
      </c>
      <c r="P203" s="29">
        <f>VLOOKUP($C203,DataDijkvakken!$B:$G,6,FALSE)</f>
        <v>37.5</v>
      </c>
      <c r="Q203" s="29">
        <f t="shared" si="26"/>
        <v>37.5</v>
      </c>
      <c r="R203" s="7">
        <v>1406.25</v>
      </c>
      <c r="S203" s="27"/>
      <c r="T203" s="32">
        <f t="shared" si="27"/>
        <v>0</v>
      </c>
      <c r="U203" s="27"/>
      <c r="V203">
        <f t="shared" si="28"/>
        <v>10.465527027027026</v>
      </c>
      <c r="W203" s="31">
        <f t="shared" si="29"/>
        <v>121.31425053041688</v>
      </c>
      <c r="X203" s="33"/>
      <c r="Y203" t="str">
        <f>IF(Ondergrondscenarios[[#This Row],[Scenariotype '[-']]]="-","",IF(Ondergrondscenarios[[#This Row],[Scenariotype '[-']]]="Pleistoceen",VLOOKUP(Ondergrondscenarios[[#This Row],[Vaknaam '[-']]],DataDijkvakken[#All],8,FALSE),VLOOKUP(Ondergrondscenarios[[#This Row],[Vaknaam '[-']]],DataDijkvakken[#All],7,FALSE)))</f>
        <v/>
      </c>
      <c r="Z203">
        <f>VLOOKUP($C203,DataDijkvakken[#All],3,FALSE)</f>
        <v>18</v>
      </c>
      <c r="AA203" s="8"/>
    </row>
    <row r="204" spans="1:27" x14ac:dyDescent="0.3">
      <c r="A204">
        <f>IFERROR(IF(Ondergrondscenarios[[#This Row],[Scenarionaam '[-']]]="","",A203+1),1)</f>
        <v>203</v>
      </c>
      <c r="B204">
        <f>A205/6</f>
        <v>34</v>
      </c>
      <c r="C204" t="str">
        <f>VLOOKUP(Ondergrondscenarios[[#This Row],[VakID '[-']]],DataDijkvakken!A:I,2,FALSE)</f>
        <v>09a</v>
      </c>
      <c r="D204" s="8" t="str">
        <f>GenererenScenarios!$B$7</f>
        <v>P_S5</v>
      </c>
      <c r="E204" s="8" t="str">
        <f>GenererenScenarios!$C$7</f>
        <v>-</v>
      </c>
      <c r="F204" s="26">
        <v>0</v>
      </c>
      <c r="G204" s="29">
        <f>VLOOKUP($C204,DataDijkvakken!$B:$G,2,FALSE)</f>
        <v>1.0465527027027026</v>
      </c>
      <c r="H204" s="7"/>
      <c r="I204" s="7"/>
      <c r="J204" s="29"/>
      <c r="K204" s="29">
        <f t="shared" si="24"/>
        <v>1.0465527027027026</v>
      </c>
      <c r="L204" s="7"/>
      <c r="M204" s="29">
        <f>IF(Ondergrondscenarios[[#This Row],[Scenariotype '[-']]]="Tussenzandlaag",0,VLOOKUP($C204,DataDijkvakken[#All],4,FALSE))</f>
        <v>37.5</v>
      </c>
      <c r="N204" s="29">
        <f t="shared" si="25"/>
        <v>37.5</v>
      </c>
      <c r="O204" s="29">
        <f>VLOOKUP($C204,DataDijkvakken!$B:$G,5,FALSE)</f>
        <v>15</v>
      </c>
      <c r="P204" s="29">
        <f>VLOOKUP($C204,DataDijkvakken!$B:$G,6,FALSE)</f>
        <v>37.5</v>
      </c>
      <c r="Q204" s="29">
        <f t="shared" si="26"/>
        <v>37.5</v>
      </c>
      <c r="R204" s="7">
        <v>1406.25</v>
      </c>
      <c r="S204" s="27"/>
      <c r="T204" s="32">
        <f t="shared" si="27"/>
        <v>0</v>
      </c>
      <c r="U204" s="27"/>
      <c r="V204">
        <f t="shared" si="28"/>
        <v>10.465527027027026</v>
      </c>
      <c r="W204" s="31">
        <f t="shared" si="29"/>
        <v>121.31425053041688</v>
      </c>
      <c r="X204" s="33"/>
      <c r="Y204" t="str">
        <f>IF(Ondergrondscenarios[[#This Row],[Scenariotype '[-']]]="-","",IF(Ondergrondscenarios[[#This Row],[Scenariotype '[-']]]="Pleistoceen",VLOOKUP(Ondergrondscenarios[[#This Row],[Vaknaam '[-']]],DataDijkvakken[#All],8,FALSE),VLOOKUP(Ondergrondscenarios[[#This Row],[Vaknaam '[-']]],DataDijkvakken[#All],7,FALSE)))</f>
        <v/>
      </c>
      <c r="Z204">
        <f>VLOOKUP($C204,DataDijkvakken[#All],3,FALSE)</f>
        <v>18</v>
      </c>
      <c r="AA204" s="8"/>
    </row>
    <row r="205" spans="1:27" x14ac:dyDescent="0.3">
      <c r="A205">
        <f>IFERROR(IF(Ondergrondscenarios[[#This Row],[Scenarionaam '[-']]]="","",A204+1),1)</f>
        <v>204</v>
      </c>
      <c r="B205">
        <f>A205/6</f>
        <v>34</v>
      </c>
      <c r="C205" t="str">
        <f>VLOOKUP(Ondergrondscenarios[[#This Row],[VakID '[-']]],DataDijkvakken!A:I,2,FALSE)</f>
        <v>09a</v>
      </c>
      <c r="D205" s="8" t="str">
        <f>GenererenScenarios!$B$8</f>
        <v>P_S6</v>
      </c>
      <c r="E205" s="8" t="str">
        <f>GenererenScenarios!$C$8</f>
        <v>-</v>
      </c>
      <c r="F205" s="26">
        <v>0</v>
      </c>
      <c r="G205" s="29">
        <f>VLOOKUP($C205,DataDijkvakken!$B:$G,2,FALSE)</f>
        <v>1.0465527027027026</v>
      </c>
      <c r="H205" s="7"/>
      <c r="I205" s="7"/>
      <c r="J205" s="29"/>
      <c r="K205" s="29">
        <f t="shared" si="24"/>
        <v>1.0465527027027026</v>
      </c>
      <c r="L205" s="7"/>
      <c r="M205" s="29">
        <f>IF(Ondergrondscenarios[[#This Row],[Scenariotype '[-']]]="Tussenzandlaag",0,VLOOKUP($C205,DataDijkvakken[#All],4,FALSE))</f>
        <v>37.5</v>
      </c>
      <c r="N205" s="29">
        <f t="shared" si="25"/>
        <v>37.5</v>
      </c>
      <c r="O205" s="29">
        <f>VLOOKUP($C205,DataDijkvakken!$B:$G,5,FALSE)</f>
        <v>15</v>
      </c>
      <c r="P205" s="29">
        <f>VLOOKUP($C205,DataDijkvakken!$B:$G,6,FALSE)</f>
        <v>37.5</v>
      </c>
      <c r="Q205" s="29">
        <f t="shared" si="26"/>
        <v>37.5</v>
      </c>
      <c r="R205" s="7">
        <v>1406.25</v>
      </c>
      <c r="S205" s="27"/>
      <c r="T205" s="32">
        <f t="shared" si="27"/>
        <v>0</v>
      </c>
      <c r="U205" s="27"/>
      <c r="V205">
        <f t="shared" si="28"/>
        <v>10.465527027027026</v>
      </c>
      <c r="W205" s="31">
        <f t="shared" si="29"/>
        <v>121.31425053041688</v>
      </c>
      <c r="X205" s="33"/>
      <c r="Y205" t="str">
        <f>IF(Ondergrondscenarios[[#This Row],[Scenariotype '[-']]]="-","",IF(Ondergrondscenarios[[#This Row],[Scenariotype '[-']]]="Pleistoceen",VLOOKUP(Ondergrondscenarios[[#This Row],[Vaknaam '[-']]],DataDijkvakken[#All],8,FALSE),VLOOKUP(Ondergrondscenarios[[#This Row],[Vaknaam '[-']]],DataDijkvakken[#All],7,FALSE)))</f>
        <v/>
      </c>
      <c r="Z205">
        <f>VLOOKUP($C205,DataDijkvakken[#All],3,FALSE)</f>
        <v>18</v>
      </c>
      <c r="AA205" s="8"/>
    </row>
    <row r="206" spans="1:27" x14ac:dyDescent="0.3">
      <c r="A206">
        <f>IFERROR(IF(Ondergrondscenarios[[#This Row],[Scenarionaam '[-']]]="","",A205+1),1)</f>
        <v>205</v>
      </c>
      <c r="B206">
        <f>A211/6</f>
        <v>35</v>
      </c>
      <c r="C206" t="str">
        <f>VLOOKUP(Ondergrondscenarios[[#This Row],[VakID '[-']]],DataDijkvakken!A:I,2,FALSE)</f>
        <v>09b</v>
      </c>
      <c r="D206" s="8" t="str">
        <f>GenererenScenarios!$B$3</f>
        <v>P_S1_PL</v>
      </c>
      <c r="E206" s="8" t="str">
        <f>GenererenScenarios!$C$3</f>
        <v>Pleistoceen</v>
      </c>
      <c r="F206" s="26">
        <v>0</v>
      </c>
      <c r="G206" s="29">
        <f>VLOOKUP($C206,DataDijkvakken!$B:$G,2,FALSE)</f>
        <v>1.4765097142857144</v>
      </c>
      <c r="H206" s="7"/>
      <c r="I206" s="7"/>
      <c r="J206" s="29">
        <v>-6.9</v>
      </c>
      <c r="K206" s="29">
        <f t="shared" si="24"/>
        <v>8.3765097142857154</v>
      </c>
      <c r="L206" s="7">
        <v>0</v>
      </c>
      <c r="M206" s="29">
        <f>IF(Ondergrondscenarios[[#This Row],[Scenariotype '[-']]]="Tussenzandlaag",0,VLOOKUP($C206,DataDijkvakken[#All],4,FALSE))</f>
        <v>37.5</v>
      </c>
      <c r="N206" s="29">
        <f t="shared" si="25"/>
        <v>37.5</v>
      </c>
      <c r="O206" s="29">
        <f>VLOOKUP($C206,DataDijkvakken!$B:$G,5,FALSE)</f>
        <v>15</v>
      </c>
      <c r="P206" s="29">
        <f>VLOOKUP($C206,DataDijkvakken!$B:$G,6,FALSE)</f>
        <v>37.5</v>
      </c>
      <c r="Q206" s="29">
        <f t="shared" si="26"/>
        <v>37.5</v>
      </c>
      <c r="R206" s="7">
        <v>1406.25</v>
      </c>
      <c r="S206" s="27"/>
      <c r="T206" s="32">
        <f t="shared" si="27"/>
        <v>0</v>
      </c>
      <c r="U206" s="27"/>
      <c r="V206">
        <f t="shared" si="28"/>
        <v>702.65097142857155</v>
      </c>
      <c r="W206" s="31">
        <f t="shared" si="29"/>
        <v>994.03366571330412</v>
      </c>
      <c r="X206" s="33"/>
      <c r="Y206">
        <f>IF(Ondergrondscenarios[[#This Row],[Scenariotype '[-']]]="-","",IF(Ondergrondscenarios[[#This Row],[Scenariotype '[-']]]="Pleistoceen",VLOOKUP(Ondergrondscenarios[[#This Row],[Vaknaam '[-']]],DataDijkvakken[#All],8,FALSE),VLOOKUP(Ondergrondscenarios[[#This Row],[Vaknaam '[-']]],DataDijkvakken[#All],7,FALSE)))</f>
        <v>3.5000000000000005E-4</v>
      </c>
      <c r="Z206">
        <f>VLOOKUP($C206,DataDijkvakken[#All],3,FALSE)</f>
        <v>18</v>
      </c>
      <c r="AA206" s="8"/>
    </row>
    <row r="207" spans="1:27" x14ac:dyDescent="0.3">
      <c r="A207">
        <f>IFERROR(IF(Ondergrondscenarios[[#This Row],[Scenarionaam '[-']]]="","",A206+1),1)</f>
        <v>206</v>
      </c>
      <c r="B207">
        <f>A211/6</f>
        <v>35</v>
      </c>
      <c r="C207" t="str">
        <f>VLOOKUP(Ondergrondscenarios[[#This Row],[VakID '[-']]],DataDijkvakken!A:I,2,FALSE)</f>
        <v>09b</v>
      </c>
      <c r="D207" s="8" t="str">
        <f>GenererenScenarios!$B$4</f>
        <v>P_S2_HL_F</v>
      </c>
      <c r="E207" s="8" t="str">
        <f>GenererenScenarios!$C$4</f>
        <v>Holoceen</v>
      </c>
      <c r="F207" s="26">
        <v>1</v>
      </c>
      <c r="G207" s="29">
        <f>VLOOKUP($C207,DataDijkvakken!$B:$G,2,FALSE)</f>
        <v>1.4765097142857144</v>
      </c>
      <c r="H207" s="7"/>
      <c r="I207" s="7"/>
      <c r="J207" s="29">
        <v>0.5</v>
      </c>
      <c r="K207" s="29">
        <f t="shared" si="24"/>
        <v>0.97650971428571443</v>
      </c>
      <c r="L207" s="7">
        <v>8.5</v>
      </c>
      <c r="M207" s="29">
        <f>IF(Ondergrondscenarios[[#This Row],[Scenariotype '[-']]]="Tussenzandlaag",0,VLOOKUP($C207,DataDijkvakken[#All],4,FALSE))</f>
        <v>37.5</v>
      </c>
      <c r="N207" s="29">
        <f t="shared" si="25"/>
        <v>46</v>
      </c>
      <c r="O207" s="29">
        <f>VLOOKUP($C207,DataDijkvakken!$B:$G,5,FALSE)</f>
        <v>15</v>
      </c>
      <c r="P207" s="29">
        <f>VLOOKUP($C207,DataDijkvakken!$B:$G,6,FALSE)</f>
        <v>37.5</v>
      </c>
      <c r="Q207" s="29">
        <f t="shared" si="26"/>
        <v>33.342391304347828</v>
      </c>
      <c r="R207" s="7">
        <v>1533.75</v>
      </c>
      <c r="S207" s="27"/>
      <c r="T207" s="32">
        <f t="shared" si="27"/>
        <v>0</v>
      </c>
      <c r="U207" s="27"/>
      <c r="V207">
        <f t="shared" si="28"/>
        <v>9.7650971428571438</v>
      </c>
      <c r="W207" s="31">
        <f t="shared" si="29"/>
        <v>122.38144362139688</v>
      </c>
      <c r="X207" s="33"/>
      <c r="Y207">
        <f>IF(Ondergrondscenarios[[#This Row],[Scenariotype '[-']]]="-","",IF(Ondergrondscenarios[[#This Row],[Scenariotype '[-']]]="Pleistoceen",VLOOKUP(Ondergrondscenarios[[#This Row],[Vaknaam '[-']]],DataDijkvakken[#All],8,FALSE),VLOOKUP(Ondergrondscenarios[[#This Row],[Vaknaam '[-']]],DataDijkvakken[#All],7,FALSE)))</f>
        <v>2.5999999999999998E-4</v>
      </c>
      <c r="Z207">
        <f>VLOOKUP($C207,DataDijkvakken[#All],3,FALSE)</f>
        <v>18</v>
      </c>
      <c r="AA207" s="8"/>
    </row>
    <row r="208" spans="1:27" x14ac:dyDescent="0.3">
      <c r="A208">
        <f>IFERROR(IF(Ondergrondscenarios[[#This Row],[Scenarionaam '[-']]]="","",A207+1),1)</f>
        <v>207</v>
      </c>
      <c r="B208">
        <f>A211/6</f>
        <v>35</v>
      </c>
      <c r="C208" t="str">
        <f>VLOOKUP(Ondergrondscenarios[[#This Row],[VakID '[-']]],DataDijkvakken!A:I,2,FALSE)</f>
        <v>09b</v>
      </c>
      <c r="D208" s="8" t="str">
        <f>GenererenScenarios!$B$5</f>
        <v>P_S3_HL_TZ</v>
      </c>
      <c r="E208" s="8" t="str">
        <f>GenererenScenarios!$C$5</f>
        <v>Tussenzandlaag</v>
      </c>
      <c r="F208" s="26">
        <v>0</v>
      </c>
      <c r="G208" s="29">
        <f>VLOOKUP($C208,DataDijkvakken!$B:$G,2,FALSE)</f>
        <v>1.4765097142857144</v>
      </c>
      <c r="H208" s="7"/>
      <c r="I208" s="7"/>
      <c r="J208" s="29"/>
      <c r="K208" s="29">
        <f t="shared" si="24"/>
        <v>1.4765097142857144</v>
      </c>
      <c r="L208" s="7"/>
      <c r="M208" s="29">
        <f>IF(Ondergrondscenarios[[#This Row],[Scenariotype '[-']]]="Tussenzandlaag",0,VLOOKUP($C208,DataDijkvakken[#All],4,FALSE))</f>
        <v>0</v>
      </c>
      <c r="N208" s="29">
        <f t="shared" si="25"/>
        <v>0.1</v>
      </c>
      <c r="O208" s="29">
        <f>VLOOKUP($C208,DataDijkvakken!$B:$G,5,FALSE)</f>
        <v>15</v>
      </c>
      <c r="P208" s="29">
        <f>VLOOKUP($C208,DataDijkvakken!$B:$G,6,FALSE)</f>
        <v>37.5</v>
      </c>
      <c r="Q208" s="29">
        <f t="shared" si="26"/>
        <v>0.1</v>
      </c>
      <c r="R208" s="7">
        <v>1.0000000000000002E-2</v>
      </c>
      <c r="S208" s="27"/>
      <c r="T208" s="32">
        <f t="shared" si="27"/>
        <v>0</v>
      </c>
      <c r="U208" s="27"/>
      <c r="V208">
        <f t="shared" si="28"/>
        <v>14.765097142857144</v>
      </c>
      <c r="W208" s="31">
        <f t="shared" si="29"/>
        <v>0.38425378518444225</v>
      </c>
      <c r="X208" s="33"/>
      <c r="Y208">
        <f>IF(Ondergrondscenarios[[#This Row],[Scenariotype '[-']]]="-","",IF(Ondergrondscenarios[[#This Row],[Scenariotype '[-']]]="Pleistoceen",VLOOKUP(Ondergrondscenarios[[#This Row],[Vaknaam '[-']]],DataDijkvakken[#All],8,FALSE),VLOOKUP(Ondergrondscenarios[[#This Row],[Vaknaam '[-']]],DataDijkvakken[#All],7,FALSE)))</f>
        <v>2.5999999999999998E-4</v>
      </c>
      <c r="Z208">
        <f>VLOOKUP($C208,DataDijkvakken[#All],3,FALSE)</f>
        <v>18</v>
      </c>
      <c r="AA208" s="8"/>
    </row>
    <row r="209" spans="1:27" x14ac:dyDescent="0.3">
      <c r="A209">
        <f>IFERROR(IF(Ondergrondscenarios[[#This Row],[Scenarionaam '[-']]]="","",A208+1),1)</f>
        <v>208</v>
      </c>
      <c r="B209">
        <f>A211/6</f>
        <v>35</v>
      </c>
      <c r="C209" t="str">
        <f>VLOOKUP(Ondergrondscenarios[[#This Row],[VakID '[-']]],DataDijkvakken!A:I,2,FALSE)</f>
        <v>09b</v>
      </c>
      <c r="D209" s="8" t="str">
        <f>GenererenScenarios!$B$6</f>
        <v>P_S4</v>
      </c>
      <c r="E209" s="8" t="str">
        <f>GenererenScenarios!$C$6</f>
        <v>-</v>
      </c>
      <c r="F209" s="26">
        <v>0</v>
      </c>
      <c r="G209" s="29">
        <f>VLOOKUP($C209,DataDijkvakken!$B:$G,2,FALSE)</f>
        <v>1.4765097142857144</v>
      </c>
      <c r="H209" s="7"/>
      <c r="I209" s="7"/>
      <c r="J209" s="29"/>
      <c r="K209" s="29">
        <f t="shared" si="24"/>
        <v>1.4765097142857144</v>
      </c>
      <c r="L209" s="7"/>
      <c r="M209" s="29">
        <f>IF(Ondergrondscenarios[[#This Row],[Scenariotype '[-']]]="Tussenzandlaag",0,VLOOKUP($C209,DataDijkvakken[#All],4,FALSE))</f>
        <v>37.5</v>
      </c>
      <c r="N209" s="29">
        <f t="shared" si="25"/>
        <v>37.5</v>
      </c>
      <c r="O209" s="29">
        <f>VLOOKUP($C209,DataDijkvakken!$B:$G,5,FALSE)</f>
        <v>15</v>
      </c>
      <c r="P209" s="29">
        <f>VLOOKUP($C209,DataDijkvakken!$B:$G,6,FALSE)</f>
        <v>37.5</v>
      </c>
      <c r="Q209" s="29">
        <f t="shared" si="26"/>
        <v>37.5</v>
      </c>
      <c r="R209" s="7">
        <v>1406.25</v>
      </c>
      <c r="S209" s="27"/>
      <c r="T209" s="32">
        <f t="shared" si="27"/>
        <v>0</v>
      </c>
      <c r="U209" s="27"/>
      <c r="V209">
        <f t="shared" si="28"/>
        <v>14.765097142857144</v>
      </c>
      <c r="W209" s="31">
        <f t="shared" si="29"/>
        <v>144.09516944416583</v>
      </c>
      <c r="X209" s="33"/>
      <c r="Y209" t="str">
        <f>IF(Ondergrondscenarios[[#This Row],[Scenariotype '[-']]]="-","",IF(Ondergrondscenarios[[#This Row],[Scenariotype '[-']]]="Pleistoceen",VLOOKUP(Ondergrondscenarios[[#This Row],[Vaknaam '[-']]],DataDijkvakken[#All],8,FALSE),VLOOKUP(Ondergrondscenarios[[#This Row],[Vaknaam '[-']]],DataDijkvakken[#All],7,FALSE)))</f>
        <v/>
      </c>
      <c r="Z209">
        <f>VLOOKUP($C209,DataDijkvakken[#All],3,FALSE)</f>
        <v>18</v>
      </c>
      <c r="AA209" s="8"/>
    </row>
    <row r="210" spans="1:27" x14ac:dyDescent="0.3">
      <c r="A210">
        <f>IFERROR(IF(Ondergrondscenarios[[#This Row],[Scenarionaam '[-']]]="","",A209+1),1)</f>
        <v>209</v>
      </c>
      <c r="B210">
        <f>A211/6</f>
        <v>35</v>
      </c>
      <c r="C210" t="str">
        <f>VLOOKUP(Ondergrondscenarios[[#This Row],[VakID '[-']]],DataDijkvakken!A:I,2,FALSE)</f>
        <v>09b</v>
      </c>
      <c r="D210" s="8" t="str">
        <f>GenererenScenarios!$B$7</f>
        <v>P_S5</v>
      </c>
      <c r="E210" s="8" t="str">
        <f>GenererenScenarios!$C$7</f>
        <v>-</v>
      </c>
      <c r="F210" s="26">
        <v>0</v>
      </c>
      <c r="G210" s="29">
        <f>VLOOKUP($C210,DataDijkvakken!$B:$G,2,FALSE)</f>
        <v>1.4765097142857144</v>
      </c>
      <c r="H210" s="7"/>
      <c r="I210" s="7"/>
      <c r="J210" s="29"/>
      <c r="K210" s="29">
        <f t="shared" si="24"/>
        <v>1.4765097142857144</v>
      </c>
      <c r="L210" s="7"/>
      <c r="M210" s="29">
        <f>IF(Ondergrondscenarios[[#This Row],[Scenariotype '[-']]]="Tussenzandlaag",0,VLOOKUP($C210,DataDijkvakken[#All],4,FALSE))</f>
        <v>37.5</v>
      </c>
      <c r="N210" s="29">
        <f t="shared" si="25"/>
        <v>37.5</v>
      </c>
      <c r="O210" s="29">
        <f>VLOOKUP($C210,DataDijkvakken!$B:$G,5,FALSE)</f>
        <v>15</v>
      </c>
      <c r="P210" s="29">
        <f>VLOOKUP($C210,DataDijkvakken!$B:$G,6,FALSE)</f>
        <v>37.5</v>
      </c>
      <c r="Q210" s="29">
        <f t="shared" si="26"/>
        <v>37.5</v>
      </c>
      <c r="R210" s="7">
        <v>1406.25</v>
      </c>
      <c r="S210" s="27"/>
      <c r="T210" s="32">
        <f t="shared" si="27"/>
        <v>0</v>
      </c>
      <c r="U210" s="27"/>
      <c r="V210">
        <f t="shared" si="28"/>
        <v>14.765097142857144</v>
      </c>
      <c r="W210" s="31">
        <f t="shared" si="29"/>
        <v>144.09516944416583</v>
      </c>
      <c r="X210" s="33"/>
      <c r="Y210" t="str">
        <f>IF(Ondergrondscenarios[[#This Row],[Scenariotype '[-']]]="-","",IF(Ondergrondscenarios[[#This Row],[Scenariotype '[-']]]="Pleistoceen",VLOOKUP(Ondergrondscenarios[[#This Row],[Vaknaam '[-']]],DataDijkvakken[#All],8,FALSE),VLOOKUP(Ondergrondscenarios[[#This Row],[Vaknaam '[-']]],DataDijkvakken[#All],7,FALSE)))</f>
        <v/>
      </c>
      <c r="Z210">
        <f>VLOOKUP($C210,DataDijkvakken[#All],3,FALSE)</f>
        <v>18</v>
      </c>
      <c r="AA210" s="8"/>
    </row>
    <row r="211" spans="1:27" x14ac:dyDescent="0.3">
      <c r="A211">
        <f>IFERROR(IF(Ondergrondscenarios[[#This Row],[Scenarionaam '[-']]]="","",A210+1),1)</f>
        <v>210</v>
      </c>
      <c r="B211">
        <f>A211/6</f>
        <v>35</v>
      </c>
      <c r="C211" t="str">
        <f>VLOOKUP(Ondergrondscenarios[[#This Row],[VakID '[-']]],DataDijkvakken!A:I,2,FALSE)</f>
        <v>09b</v>
      </c>
      <c r="D211" s="8" t="str">
        <f>GenererenScenarios!$B$8</f>
        <v>P_S6</v>
      </c>
      <c r="E211" s="8" t="str">
        <f>GenererenScenarios!$C$8</f>
        <v>-</v>
      </c>
      <c r="F211" s="26">
        <v>0</v>
      </c>
      <c r="G211" s="29">
        <f>VLOOKUP($C211,DataDijkvakken!$B:$G,2,FALSE)</f>
        <v>1.4765097142857144</v>
      </c>
      <c r="H211" s="7"/>
      <c r="I211" s="7"/>
      <c r="J211" s="29"/>
      <c r="K211" s="29">
        <f t="shared" si="24"/>
        <v>1.4765097142857144</v>
      </c>
      <c r="L211" s="7"/>
      <c r="M211" s="29">
        <f>IF(Ondergrondscenarios[[#This Row],[Scenariotype '[-']]]="Tussenzandlaag",0,VLOOKUP($C211,DataDijkvakken[#All],4,FALSE))</f>
        <v>37.5</v>
      </c>
      <c r="N211" s="29">
        <f t="shared" si="25"/>
        <v>37.5</v>
      </c>
      <c r="O211" s="29">
        <f>VLOOKUP($C211,DataDijkvakken!$B:$G,5,FALSE)</f>
        <v>15</v>
      </c>
      <c r="P211" s="29">
        <f>VLOOKUP($C211,DataDijkvakken!$B:$G,6,FALSE)</f>
        <v>37.5</v>
      </c>
      <c r="Q211" s="29">
        <f t="shared" si="26"/>
        <v>37.5</v>
      </c>
      <c r="R211" s="7">
        <v>1406.25</v>
      </c>
      <c r="S211" s="27"/>
      <c r="T211" s="32">
        <f t="shared" si="27"/>
        <v>0</v>
      </c>
      <c r="U211" s="27"/>
      <c r="V211">
        <f t="shared" si="28"/>
        <v>14.765097142857144</v>
      </c>
      <c r="W211" s="31">
        <f t="shared" si="29"/>
        <v>144.09516944416583</v>
      </c>
      <c r="X211" s="33"/>
      <c r="Y211" t="str">
        <f>IF(Ondergrondscenarios[[#This Row],[Scenariotype '[-']]]="-","",IF(Ondergrondscenarios[[#This Row],[Scenariotype '[-']]]="Pleistoceen",VLOOKUP(Ondergrondscenarios[[#This Row],[Vaknaam '[-']]],DataDijkvakken[#All],8,FALSE),VLOOKUP(Ondergrondscenarios[[#This Row],[Vaknaam '[-']]],DataDijkvakken[#All],7,FALSE)))</f>
        <v/>
      </c>
      <c r="Z211">
        <f>VLOOKUP($C211,DataDijkvakken[#All],3,FALSE)</f>
        <v>18</v>
      </c>
      <c r="AA211" s="8"/>
    </row>
    <row r="212" spans="1:27" x14ac:dyDescent="0.3">
      <c r="A212">
        <f>IFERROR(IF(Ondergrondscenarios[[#This Row],[Scenarionaam '[-']]]="","",A211+1),1)</f>
        <v>211</v>
      </c>
      <c r="B212">
        <f>A217/6</f>
        <v>36</v>
      </c>
      <c r="C212" t="str">
        <f>VLOOKUP(Ondergrondscenarios[[#This Row],[VakID '[-']]],DataDijkvakken!A:I,2,FALSE)</f>
        <v>10a</v>
      </c>
      <c r="D212" s="8" t="str">
        <f>GenererenScenarios!$B$3</f>
        <v>P_S1_PL</v>
      </c>
      <c r="E212" s="8" t="str">
        <f>GenererenScenarios!$C$3</f>
        <v>Pleistoceen</v>
      </c>
      <c r="F212" s="26">
        <v>1</v>
      </c>
      <c r="G212" s="29">
        <f>VLOOKUP($C212,DataDijkvakken!$B:$G,2,FALSE)</f>
        <v>1.5432998421052633</v>
      </c>
      <c r="H212" s="7"/>
      <c r="I212" s="7"/>
      <c r="J212" s="29">
        <v>-7</v>
      </c>
      <c r="K212" s="29">
        <f t="shared" si="24"/>
        <v>8.5432998421052631</v>
      </c>
      <c r="L212" s="7">
        <v>0</v>
      </c>
      <c r="M212" s="29">
        <f>IF(Ondergrondscenarios[[#This Row],[Scenariotype '[-']]]="Tussenzandlaag",0,VLOOKUP($C212,DataDijkvakken[#All],4,FALSE))</f>
        <v>37.5</v>
      </c>
      <c r="N212" s="29">
        <f t="shared" si="25"/>
        <v>37.5</v>
      </c>
      <c r="O212" s="29">
        <f>VLOOKUP($C212,DataDijkvakken!$B:$G,5,FALSE)</f>
        <v>15</v>
      </c>
      <c r="P212" s="29">
        <f>VLOOKUP($C212,DataDijkvakken!$B:$G,6,FALSE)</f>
        <v>37.5</v>
      </c>
      <c r="Q212" s="29">
        <f t="shared" si="26"/>
        <v>37.5</v>
      </c>
      <c r="R212" s="7">
        <v>1406.25</v>
      </c>
      <c r="S212" s="27"/>
      <c r="T212" s="32">
        <f t="shared" si="27"/>
        <v>0</v>
      </c>
      <c r="U212" s="27"/>
      <c r="V212">
        <f t="shared" si="28"/>
        <v>719.32998421052628</v>
      </c>
      <c r="W212" s="31">
        <f t="shared" si="29"/>
        <v>1005.7622931369283</v>
      </c>
      <c r="X212" s="33"/>
      <c r="Y212">
        <f>IF(Ondergrondscenarios[[#This Row],[Scenariotype '[-']]]="-","",IF(Ondergrondscenarios[[#This Row],[Scenariotype '[-']]]="Pleistoceen",VLOOKUP(Ondergrondscenarios[[#This Row],[Vaknaam '[-']]],DataDijkvakken[#All],8,FALSE),VLOOKUP(Ondergrondscenarios[[#This Row],[Vaknaam '[-']]],DataDijkvakken[#All],7,FALSE)))</f>
        <v>3.5000000000000005E-4</v>
      </c>
      <c r="Z212">
        <f>VLOOKUP($C212,DataDijkvakken[#All],3,FALSE)</f>
        <v>18</v>
      </c>
      <c r="AA212" s="8"/>
    </row>
    <row r="213" spans="1:27" x14ac:dyDescent="0.3">
      <c r="A213">
        <f>IFERROR(IF(Ondergrondscenarios[[#This Row],[Scenarionaam '[-']]]="","",A212+1),1)</f>
        <v>212</v>
      </c>
      <c r="B213">
        <f>A217/6</f>
        <v>36</v>
      </c>
      <c r="C213" t="str">
        <f>VLOOKUP(Ondergrondscenarios[[#This Row],[VakID '[-']]],DataDijkvakken!A:I,2,FALSE)</f>
        <v>10a</v>
      </c>
      <c r="D213" s="8" t="str">
        <f>GenererenScenarios!$B$4</f>
        <v>P_S2_HL_F</v>
      </c>
      <c r="E213" s="8" t="str">
        <f>GenererenScenarios!$C$4</f>
        <v>Holoceen</v>
      </c>
      <c r="F213" s="26">
        <v>0</v>
      </c>
      <c r="G213" s="29">
        <f>VLOOKUP($C213,DataDijkvakken!$B:$G,2,FALSE)</f>
        <v>1.5432998421052633</v>
      </c>
      <c r="H213" s="7"/>
      <c r="I213" s="7"/>
      <c r="J213" s="29">
        <v>-0.4</v>
      </c>
      <c r="K213" s="29">
        <f t="shared" si="24"/>
        <v>1.9432998421052634</v>
      </c>
      <c r="L213" s="7">
        <v>2.5</v>
      </c>
      <c r="M213" s="29">
        <f>IF(Ondergrondscenarios[[#This Row],[Scenariotype '[-']]]="Tussenzandlaag",0,VLOOKUP($C213,DataDijkvakken[#All],4,FALSE))</f>
        <v>37.5</v>
      </c>
      <c r="N213" s="29">
        <f t="shared" si="25"/>
        <v>40</v>
      </c>
      <c r="O213" s="29">
        <f>VLOOKUP($C213,DataDijkvakken!$B:$G,5,FALSE)</f>
        <v>15</v>
      </c>
      <c r="P213" s="29">
        <f>VLOOKUP($C213,DataDijkvakken!$B:$G,6,FALSE)</f>
        <v>37.5</v>
      </c>
      <c r="Q213" s="29">
        <f t="shared" si="26"/>
        <v>36.09375</v>
      </c>
      <c r="R213" s="7">
        <v>1443.75</v>
      </c>
      <c r="S213" s="27"/>
      <c r="T213" s="32">
        <f t="shared" si="27"/>
        <v>0</v>
      </c>
      <c r="U213" s="27"/>
      <c r="V213">
        <f t="shared" si="28"/>
        <v>59.329984210526341</v>
      </c>
      <c r="W213" s="31">
        <f t="shared" si="29"/>
        <v>292.6733071257907</v>
      </c>
      <c r="X213" s="33"/>
      <c r="Y213">
        <f>IF(Ondergrondscenarios[[#This Row],[Scenariotype '[-']]]="-","",IF(Ondergrondscenarios[[#This Row],[Scenariotype '[-']]]="Pleistoceen",VLOOKUP(Ondergrondscenarios[[#This Row],[Vaknaam '[-']]],DataDijkvakken[#All],8,FALSE),VLOOKUP(Ondergrondscenarios[[#This Row],[Vaknaam '[-']]],DataDijkvakken[#All],7,FALSE)))</f>
        <v>2.5999999999999998E-4</v>
      </c>
      <c r="Z213">
        <f>VLOOKUP($C213,DataDijkvakken[#All],3,FALSE)</f>
        <v>18</v>
      </c>
      <c r="AA213" s="8"/>
    </row>
    <row r="214" spans="1:27" x14ac:dyDescent="0.3">
      <c r="A214">
        <f>IFERROR(IF(Ondergrondscenarios[[#This Row],[Scenarionaam '[-']]]="","",A213+1),1)</f>
        <v>213</v>
      </c>
      <c r="B214">
        <f>A217/6</f>
        <v>36</v>
      </c>
      <c r="C214" t="str">
        <f>VLOOKUP(Ondergrondscenarios[[#This Row],[VakID '[-']]],DataDijkvakken!A:I,2,FALSE)</f>
        <v>10a</v>
      </c>
      <c r="D214" s="8" t="str">
        <f>GenererenScenarios!$B$5</f>
        <v>P_S3_HL_TZ</v>
      </c>
      <c r="E214" s="8" t="str">
        <f>GenererenScenarios!$C$5</f>
        <v>Tussenzandlaag</v>
      </c>
      <c r="F214" s="26">
        <v>0</v>
      </c>
      <c r="G214" s="29">
        <f>VLOOKUP($C214,DataDijkvakken!$B:$G,2,FALSE)</f>
        <v>1.5432998421052633</v>
      </c>
      <c r="H214" s="7"/>
      <c r="I214" s="7"/>
      <c r="J214" s="29">
        <v>-3</v>
      </c>
      <c r="K214" s="29">
        <f t="shared" si="24"/>
        <v>4.5432998421052631</v>
      </c>
      <c r="L214" s="7">
        <v>2.5</v>
      </c>
      <c r="M214" s="29">
        <f>IF(Ondergrondscenarios[[#This Row],[Scenariotype '[-']]]="Tussenzandlaag",0,VLOOKUP($C214,DataDijkvakken[#All],4,FALSE))</f>
        <v>0</v>
      </c>
      <c r="N214" s="29">
        <f t="shared" si="25"/>
        <v>2.5</v>
      </c>
      <c r="O214" s="29">
        <f>VLOOKUP($C214,DataDijkvakken!$B:$G,5,FALSE)</f>
        <v>15</v>
      </c>
      <c r="P214" s="29">
        <f>VLOOKUP($C214,DataDijkvakken!$B:$G,6,FALSE)</f>
        <v>37.5</v>
      </c>
      <c r="Q214" s="29">
        <f t="shared" si="26"/>
        <v>15</v>
      </c>
      <c r="R214" s="7">
        <v>37.5</v>
      </c>
      <c r="S214" s="27"/>
      <c r="T214" s="32">
        <f t="shared" si="27"/>
        <v>0</v>
      </c>
      <c r="U214" s="27"/>
      <c r="V214">
        <f t="shared" si="28"/>
        <v>319.32998421052628</v>
      </c>
      <c r="W214" s="31">
        <f t="shared" si="29"/>
        <v>109.42976929471584</v>
      </c>
      <c r="X214" s="33"/>
      <c r="Y214">
        <f>IF(Ondergrondscenarios[[#This Row],[Scenariotype '[-']]]="-","",IF(Ondergrondscenarios[[#This Row],[Scenariotype '[-']]]="Pleistoceen",VLOOKUP(Ondergrondscenarios[[#This Row],[Vaknaam '[-']]],DataDijkvakken[#All],8,FALSE),VLOOKUP(Ondergrondscenarios[[#This Row],[Vaknaam '[-']]],DataDijkvakken[#All],7,FALSE)))</f>
        <v>2.5999999999999998E-4</v>
      </c>
      <c r="Z214">
        <f>VLOOKUP($C214,DataDijkvakken[#All],3,FALSE)</f>
        <v>18</v>
      </c>
      <c r="AA214" s="8"/>
    </row>
    <row r="215" spans="1:27" x14ac:dyDescent="0.3">
      <c r="A215">
        <f>IFERROR(IF(Ondergrondscenarios[[#This Row],[Scenarionaam '[-']]]="","",A214+1),1)</f>
        <v>214</v>
      </c>
      <c r="B215">
        <f>A217/6</f>
        <v>36</v>
      </c>
      <c r="C215" t="str">
        <f>VLOOKUP(Ondergrondscenarios[[#This Row],[VakID '[-']]],DataDijkvakken!A:I,2,FALSE)</f>
        <v>10a</v>
      </c>
      <c r="D215" s="8" t="str">
        <f>GenererenScenarios!$B$6</f>
        <v>P_S4</v>
      </c>
      <c r="E215" s="8" t="str">
        <f>GenererenScenarios!$C$6</f>
        <v>-</v>
      </c>
      <c r="F215" s="26">
        <v>0</v>
      </c>
      <c r="G215" s="29">
        <f>VLOOKUP($C215,DataDijkvakken!$B:$G,2,FALSE)</f>
        <v>1.5432998421052633</v>
      </c>
      <c r="H215" s="7"/>
      <c r="I215" s="7"/>
      <c r="J215" s="29"/>
      <c r="K215" s="29">
        <f t="shared" si="24"/>
        <v>1.5432998421052633</v>
      </c>
      <c r="L215" s="7"/>
      <c r="M215" s="29">
        <f>IF(Ondergrondscenarios[[#This Row],[Scenariotype '[-']]]="Tussenzandlaag",0,VLOOKUP($C215,DataDijkvakken[#All],4,FALSE))</f>
        <v>37.5</v>
      </c>
      <c r="N215" s="29">
        <f t="shared" si="25"/>
        <v>37.5</v>
      </c>
      <c r="O215" s="29">
        <f>VLOOKUP($C215,DataDijkvakken!$B:$G,5,FALSE)</f>
        <v>15</v>
      </c>
      <c r="P215" s="29">
        <f>VLOOKUP($C215,DataDijkvakken!$B:$G,6,FALSE)</f>
        <v>37.5</v>
      </c>
      <c r="Q215" s="29">
        <f t="shared" si="26"/>
        <v>37.5</v>
      </c>
      <c r="R215" s="7">
        <v>1406.25</v>
      </c>
      <c r="S215" s="27"/>
      <c r="T215" s="32">
        <f t="shared" si="27"/>
        <v>0</v>
      </c>
      <c r="U215" s="27"/>
      <c r="V215">
        <f t="shared" si="28"/>
        <v>19.329984210526327</v>
      </c>
      <c r="W215" s="31">
        <f t="shared" si="29"/>
        <v>164.87204219045947</v>
      </c>
      <c r="X215" s="33"/>
      <c r="Y215" t="str">
        <f>IF(Ondergrondscenarios[[#This Row],[Scenariotype '[-']]]="-","",IF(Ondergrondscenarios[[#This Row],[Scenariotype '[-']]]="Pleistoceen",VLOOKUP(Ondergrondscenarios[[#This Row],[Vaknaam '[-']]],DataDijkvakken[#All],8,FALSE),VLOOKUP(Ondergrondscenarios[[#This Row],[Vaknaam '[-']]],DataDijkvakken[#All],7,FALSE)))</f>
        <v/>
      </c>
      <c r="Z215">
        <f>VLOOKUP($C215,DataDijkvakken[#All],3,FALSE)</f>
        <v>18</v>
      </c>
      <c r="AA215" s="8"/>
    </row>
    <row r="216" spans="1:27" x14ac:dyDescent="0.3">
      <c r="A216">
        <f>IFERROR(IF(Ondergrondscenarios[[#This Row],[Scenarionaam '[-']]]="","",A215+1),1)</f>
        <v>215</v>
      </c>
      <c r="B216">
        <f>A217/6</f>
        <v>36</v>
      </c>
      <c r="C216" t="str">
        <f>VLOOKUP(Ondergrondscenarios[[#This Row],[VakID '[-']]],DataDijkvakken!A:I,2,FALSE)</f>
        <v>10a</v>
      </c>
      <c r="D216" s="8" t="str">
        <f>GenererenScenarios!$B$7</f>
        <v>P_S5</v>
      </c>
      <c r="E216" s="8" t="str">
        <f>GenererenScenarios!$C$7</f>
        <v>-</v>
      </c>
      <c r="F216" s="26">
        <v>0</v>
      </c>
      <c r="G216" s="29">
        <f>VLOOKUP($C216,DataDijkvakken!$B:$G,2,FALSE)</f>
        <v>1.5432998421052633</v>
      </c>
      <c r="H216" s="7"/>
      <c r="I216" s="7"/>
      <c r="J216" s="29"/>
      <c r="K216" s="29">
        <f t="shared" si="24"/>
        <v>1.5432998421052633</v>
      </c>
      <c r="L216" s="7"/>
      <c r="M216" s="29">
        <f>IF(Ondergrondscenarios[[#This Row],[Scenariotype '[-']]]="Tussenzandlaag",0,VLOOKUP($C216,DataDijkvakken[#All],4,FALSE))</f>
        <v>37.5</v>
      </c>
      <c r="N216" s="29">
        <f t="shared" si="25"/>
        <v>37.5</v>
      </c>
      <c r="O216" s="29">
        <f>VLOOKUP($C216,DataDijkvakken!$B:$G,5,FALSE)</f>
        <v>15</v>
      </c>
      <c r="P216" s="29">
        <f>VLOOKUP($C216,DataDijkvakken!$B:$G,6,FALSE)</f>
        <v>37.5</v>
      </c>
      <c r="Q216" s="29">
        <f t="shared" si="26"/>
        <v>37.5</v>
      </c>
      <c r="R216" s="7">
        <v>1406.25</v>
      </c>
      <c r="S216" s="27"/>
      <c r="T216" s="32">
        <f t="shared" si="27"/>
        <v>0</v>
      </c>
      <c r="U216" s="27"/>
      <c r="V216">
        <f t="shared" si="28"/>
        <v>19.329984210526327</v>
      </c>
      <c r="W216" s="31">
        <f t="shared" si="29"/>
        <v>164.87204219045947</v>
      </c>
      <c r="X216" s="33"/>
      <c r="Y216" t="str">
        <f>IF(Ondergrondscenarios[[#This Row],[Scenariotype '[-']]]="-","",IF(Ondergrondscenarios[[#This Row],[Scenariotype '[-']]]="Pleistoceen",VLOOKUP(Ondergrondscenarios[[#This Row],[Vaknaam '[-']]],DataDijkvakken[#All],8,FALSE),VLOOKUP(Ondergrondscenarios[[#This Row],[Vaknaam '[-']]],DataDijkvakken[#All],7,FALSE)))</f>
        <v/>
      </c>
      <c r="Z216">
        <f>VLOOKUP($C216,DataDijkvakken[#All],3,FALSE)</f>
        <v>18</v>
      </c>
      <c r="AA216" s="8"/>
    </row>
    <row r="217" spans="1:27" x14ac:dyDescent="0.3">
      <c r="A217">
        <f>IFERROR(IF(Ondergrondscenarios[[#This Row],[Scenarionaam '[-']]]="","",A216+1),1)</f>
        <v>216</v>
      </c>
      <c r="B217">
        <f>A217/6</f>
        <v>36</v>
      </c>
      <c r="C217" t="str">
        <f>VLOOKUP(Ondergrondscenarios[[#This Row],[VakID '[-']]],DataDijkvakken!A:I,2,FALSE)</f>
        <v>10a</v>
      </c>
      <c r="D217" s="8" t="str">
        <f>GenererenScenarios!$B$8</f>
        <v>P_S6</v>
      </c>
      <c r="E217" s="8" t="str">
        <f>GenererenScenarios!$C$8</f>
        <v>-</v>
      </c>
      <c r="F217" s="26">
        <v>0</v>
      </c>
      <c r="G217" s="29">
        <f>VLOOKUP($C217,DataDijkvakken!$B:$G,2,FALSE)</f>
        <v>1.5432998421052633</v>
      </c>
      <c r="H217" s="7"/>
      <c r="I217" s="7"/>
      <c r="J217" s="29"/>
      <c r="K217" s="29">
        <f t="shared" si="24"/>
        <v>1.5432998421052633</v>
      </c>
      <c r="L217" s="7"/>
      <c r="M217" s="29">
        <f>IF(Ondergrondscenarios[[#This Row],[Scenariotype '[-']]]="Tussenzandlaag",0,VLOOKUP($C217,DataDijkvakken[#All],4,FALSE))</f>
        <v>37.5</v>
      </c>
      <c r="N217" s="29">
        <f t="shared" si="25"/>
        <v>37.5</v>
      </c>
      <c r="O217" s="29">
        <f>VLOOKUP($C217,DataDijkvakken!$B:$G,5,FALSE)</f>
        <v>15</v>
      </c>
      <c r="P217" s="29">
        <f>VLOOKUP($C217,DataDijkvakken!$B:$G,6,FALSE)</f>
        <v>37.5</v>
      </c>
      <c r="Q217" s="29">
        <f t="shared" si="26"/>
        <v>37.5</v>
      </c>
      <c r="R217" s="7">
        <v>1406.25</v>
      </c>
      <c r="S217" s="27"/>
      <c r="T217" s="32">
        <f t="shared" si="27"/>
        <v>0</v>
      </c>
      <c r="U217" s="27"/>
      <c r="V217">
        <f t="shared" si="28"/>
        <v>19.329984210526327</v>
      </c>
      <c r="W217" s="31">
        <f t="shared" si="29"/>
        <v>164.87204219045947</v>
      </c>
      <c r="X217" s="33"/>
      <c r="Y217" t="str">
        <f>IF(Ondergrondscenarios[[#This Row],[Scenariotype '[-']]]="-","",IF(Ondergrondscenarios[[#This Row],[Scenariotype '[-']]]="Pleistoceen",VLOOKUP(Ondergrondscenarios[[#This Row],[Vaknaam '[-']]],DataDijkvakken[#All],8,FALSE),VLOOKUP(Ondergrondscenarios[[#This Row],[Vaknaam '[-']]],DataDijkvakken[#All],7,FALSE)))</f>
        <v/>
      </c>
      <c r="Z217">
        <f>VLOOKUP($C217,DataDijkvakken[#All],3,FALSE)</f>
        <v>18</v>
      </c>
      <c r="AA217" s="8"/>
    </row>
    <row r="218" spans="1:27" x14ac:dyDescent="0.3">
      <c r="A218">
        <f>IFERROR(IF(Ondergrondscenarios[[#This Row],[Scenarionaam '[-']]]="","",A217+1),1)</f>
        <v>217</v>
      </c>
      <c r="B218">
        <f>A223/6</f>
        <v>37</v>
      </c>
      <c r="C218" t="str">
        <f>VLOOKUP(Ondergrondscenarios[[#This Row],[VakID '[-']]],DataDijkvakken!A:I,2,FALSE)</f>
        <v>10b</v>
      </c>
      <c r="D218" s="8" t="str">
        <f>GenererenScenarios!$B$3</f>
        <v>P_S1_PL</v>
      </c>
      <c r="E218" s="8" t="str">
        <f>GenererenScenarios!$C$3</f>
        <v>Pleistoceen</v>
      </c>
      <c r="F218" s="26">
        <v>0.8</v>
      </c>
      <c r="G218" s="29">
        <f>VLOOKUP($C218,DataDijkvakken!$B:$G,2,FALSE)</f>
        <v>0.85748321428571417</v>
      </c>
      <c r="H218" s="7"/>
      <c r="I218" s="7"/>
      <c r="J218" s="29">
        <v>-7.5</v>
      </c>
      <c r="K218" s="29">
        <f t="shared" si="24"/>
        <v>8.3574832142857147</v>
      </c>
      <c r="L218" s="7">
        <v>0</v>
      </c>
      <c r="M218" s="29">
        <f>IF(Ondergrondscenarios[[#This Row],[Scenariotype '[-']]]="Tussenzandlaag",0,VLOOKUP($C218,DataDijkvakken[#All],4,FALSE))</f>
        <v>37.5</v>
      </c>
      <c r="N218" s="29">
        <f t="shared" si="25"/>
        <v>37.5</v>
      </c>
      <c r="O218" s="29">
        <f>VLOOKUP($C218,DataDijkvakken!$B:$G,5,FALSE)</f>
        <v>15</v>
      </c>
      <c r="P218" s="29">
        <f>VLOOKUP($C218,DataDijkvakken!$B:$G,6,FALSE)</f>
        <v>37.5</v>
      </c>
      <c r="Q218" s="29">
        <f t="shared" si="26"/>
        <v>37.5</v>
      </c>
      <c r="R218" s="7">
        <v>1406.25</v>
      </c>
      <c r="S218" s="27"/>
      <c r="T218" s="32">
        <f t="shared" si="27"/>
        <v>0</v>
      </c>
      <c r="U218" s="27"/>
      <c r="V218">
        <f t="shared" si="28"/>
        <v>700.74832142857144</v>
      </c>
      <c r="W218" s="31">
        <f t="shared" si="29"/>
        <v>992.6869229565425</v>
      </c>
      <c r="X218" s="33"/>
      <c r="Y218">
        <f>IF(Ondergrondscenarios[[#This Row],[Scenariotype '[-']]]="-","",IF(Ondergrondscenarios[[#This Row],[Scenariotype '[-']]]="Pleistoceen",VLOOKUP(Ondergrondscenarios[[#This Row],[Vaknaam '[-']]],DataDijkvakken[#All],8,FALSE),VLOOKUP(Ondergrondscenarios[[#This Row],[Vaknaam '[-']]],DataDijkvakken[#All],7,FALSE)))</f>
        <v>3.5000000000000005E-4</v>
      </c>
      <c r="Z218">
        <f>VLOOKUP($C218,DataDijkvakken[#All],3,FALSE)</f>
        <v>18</v>
      </c>
      <c r="AA218" s="8"/>
    </row>
    <row r="219" spans="1:27" x14ac:dyDescent="0.3">
      <c r="A219">
        <f>IFERROR(IF(Ondergrondscenarios[[#This Row],[Scenarionaam '[-']]]="","",A218+1),1)</f>
        <v>218</v>
      </c>
      <c r="B219">
        <f>A223/6</f>
        <v>37</v>
      </c>
      <c r="C219" t="str">
        <f>VLOOKUP(Ondergrondscenarios[[#This Row],[VakID '[-']]],DataDijkvakken!A:I,2,FALSE)</f>
        <v>10b</v>
      </c>
      <c r="D219" s="8" t="str">
        <f>GenererenScenarios!$B$4</f>
        <v>P_S2_HL_F</v>
      </c>
      <c r="E219" s="8" t="str">
        <f>GenererenScenarios!$C$4</f>
        <v>Holoceen</v>
      </c>
      <c r="F219" s="26">
        <v>0.01</v>
      </c>
      <c r="G219" s="29">
        <f>VLOOKUP($C219,DataDijkvakken!$B:$G,2,FALSE)</f>
        <v>0.85748321428571417</v>
      </c>
      <c r="H219" s="7"/>
      <c r="I219" s="7"/>
      <c r="J219" s="29">
        <v>-3</v>
      </c>
      <c r="K219" s="29">
        <f t="shared" si="24"/>
        <v>3.8574832142857143</v>
      </c>
      <c r="L219" s="7">
        <v>4</v>
      </c>
      <c r="M219" s="29">
        <f>IF(Ondergrondscenarios[[#This Row],[Scenariotype '[-']]]="Tussenzandlaag",0,VLOOKUP($C219,DataDijkvakken[#All],4,FALSE))</f>
        <v>37.5</v>
      </c>
      <c r="N219" s="29">
        <f t="shared" si="25"/>
        <v>41.5</v>
      </c>
      <c r="O219" s="29">
        <f>VLOOKUP($C219,DataDijkvakken!$B:$G,5,FALSE)</f>
        <v>15</v>
      </c>
      <c r="P219" s="29">
        <f>VLOOKUP($C219,DataDijkvakken!$B:$G,6,FALSE)</f>
        <v>37.5</v>
      </c>
      <c r="Q219" s="29">
        <f t="shared" si="26"/>
        <v>35.331325301204821</v>
      </c>
      <c r="R219" s="7">
        <v>1466.25</v>
      </c>
      <c r="S219" s="27"/>
      <c r="T219" s="32">
        <f t="shared" si="27"/>
        <v>0</v>
      </c>
      <c r="U219" s="27"/>
      <c r="V219">
        <f t="shared" si="28"/>
        <v>250.74832142857142</v>
      </c>
      <c r="W219" s="31">
        <f t="shared" si="29"/>
        <v>606.34950836513656</v>
      </c>
      <c r="X219" s="33"/>
      <c r="Y219">
        <f>IF(Ondergrondscenarios[[#This Row],[Scenariotype '[-']]]="-","",IF(Ondergrondscenarios[[#This Row],[Scenariotype '[-']]]="Pleistoceen",VLOOKUP(Ondergrondscenarios[[#This Row],[Vaknaam '[-']]],DataDijkvakken[#All],8,FALSE),VLOOKUP(Ondergrondscenarios[[#This Row],[Vaknaam '[-']]],DataDijkvakken[#All],7,FALSE)))</f>
        <v>2.5999999999999998E-4</v>
      </c>
      <c r="Z219">
        <f>VLOOKUP($C219,DataDijkvakken[#All],3,FALSE)</f>
        <v>18</v>
      </c>
      <c r="AA219" s="8"/>
    </row>
    <row r="220" spans="1:27" x14ac:dyDescent="0.3">
      <c r="A220">
        <f>IFERROR(IF(Ondergrondscenarios[[#This Row],[Scenarionaam '[-']]]="","",A219+1),1)</f>
        <v>219</v>
      </c>
      <c r="B220">
        <f>A223/6</f>
        <v>37</v>
      </c>
      <c r="C220" t="str">
        <f>VLOOKUP(Ondergrondscenarios[[#This Row],[VakID '[-']]],DataDijkvakken!A:I,2,FALSE)</f>
        <v>10b</v>
      </c>
      <c r="D220" s="8" t="str">
        <f>GenererenScenarios!$B$5</f>
        <v>P_S3_HL_TZ</v>
      </c>
      <c r="E220" s="8" t="str">
        <f>GenererenScenarios!$C$5</f>
        <v>Tussenzandlaag</v>
      </c>
      <c r="F220" s="26">
        <v>0.19</v>
      </c>
      <c r="G220" s="29">
        <f>VLOOKUP($C220,DataDijkvakken!$B:$G,2,FALSE)</f>
        <v>0.85748321428571417</v>
      </c>
      <c r="H220" s="7"/>
      <c r="I220" s="7"/>
      <c r="J220" s="29">
        <v>-3</v>
      </c>
      <c r="K220" s="29">
        <f t="shared" si="24"/>
        <v>3.8574832142857143</v>
      </c>
      <c r="L220" s="7">
        <v>2.5</v>
      </c>
      <c r="M220" s="29">
        <f>IF(Ondergrondscenarios[[#This Row],[Scenariotype '[-']]]="Tussenzandlaag",0,VLOOKUP($C220,DataDijkvakken[#All],4,FALSE))</f>
        <v>0</v>
      </c>
      <c r="N220" s="29">
        <f t="shared" si="25"/>
        <v>2.5</v>
      </c>
      <c r="O220" s="29">
        <f>VLOOKUP($C220,DataDijkvakken!$B:$G,5,FALSE)</f>
        <v>15</v>
      </c>
      <c r="P220" s="29">
        <f>VLOOKUP($C220,DataDijkvakken!$B:$G,6,FALSE)</f>
        <v>37.5</v>
      </c>
      <c r="Q220" s="29">
        <f t="shared" si="26"/>
        <v>15</v>
      </c>
      <c r="R220" s="7">
        <v>37.5</v>
      </c>
      <c r="S220" s="27"/>
      <c r="T220" s="32">
        <f t="shared" si="27"/>
        <v>0</v>
      </c>
      <c r="U220" s="27"/>
      <c r="V220">
        <f t="shared" si="28"/>
        <v>250.74832142857142</v>
      </c>
      <c r="W220" s="31">
        <f t="shared" si="29"/>
        <v>96.969387198081378</v>
      </c>
      <c r="X220" s="33"/>
      <c r="Y220">
        <f>IF(Ondergrondscenarios[[#This Row],[Scenariotype '[-']]]="-","",IF(Ondergrondscenarios[[#This Row],[Scenariotype '[-']]]="Pleistoceen",VLOOKUP(Ondergrondscenarios[[#This Row],[Vaknaam '[-']]],DataDijkvakken[#All],8,FALSE),VLOOKUP(Ondergrondscenarios[[#This Row],[Vaknaam '[-']]],DataDijkvakken[#All],7,FALSE)))</f>
        <v>2.5999999999999998E-4</v>
      </c>
      <c r="Z220">
        <f>VLOOKUP($C220,DataDijkvakken[#All],3,FALSE)</f>
        <v>18</v>
      </c>
      <c r="AA220" s="8"/>
    </row>
    <row r="221" spans="1:27" x14ac:dyDescent="0.3">
      <c r="A221">
        <f>IFERROR(IF(Ondergrondscenarios[[#This Row],[Scenarionaam '[-']]]="","",A220+1),1)</f>
        <v>220</v>
      </c>
      <c r="B221">
        <f>A223/6</f>
        <v>37</v>
      </c>
      <c r="C221" t="str">
        <f>VLOOKUP(Ondergrondscenarios[[#This Row],[VakID '[-']]],DataDijkvakken!A:I,2,FALSE)</f>
        <v>10b</v>
      </c>
      <c r="D221" s="8" t="str">
        <f>GenererenScenarios!$B$6</f>
        <v>P_S4</v>
      </c>
      <c r="E221" s="8" t="str">
        <f>GenererenScenarios!$C$6</f>
        <v>-</v>
      </c>
      <c r="F221" s="26">
        <v>0</v>
      </c>
      <c r="G221" s="29">
        <f>VLOOKUP($C221,DataDijkvakken!$B:$G,2,FALSE)</f>
        <v>0.85748321428571417</v>
      </c>
      <c r="H221" s="7"/>
      <c r="I221" s="7"/>
      <c r="J221" s="29"/>
      <c r="K221" s="29">
        <f t="shared" si="24"/>
        <v>0.85748321428571417</v>
      </c>
      <c r="L221" s="7"/>
      <c r="M221" s="29">
        <f>IF(Ondergrondscenarios[[#This Row],[Scenariotype '[-']]]="Tussenzandlaag",0,VLOOKUP($C221,DataDijkvakken[#All],4,FALSE))</f>
        <v>37.5</v>
      </c>
      <c r="N221" s="29">
        <f t="shared" si="25"/>
        <v>37.5</v>
      </c>
      <c r="O221" s="29">
        <f>VLOOKUP($C221,DataDijkvakken!$B:$G,5,FALSE)</f>
        <v>15</v>
      </c>
      <c r="P221" s="29">
        <f>VLOOKUP($C221,DataDijkvakken!$B:$G,6,FALSE)</f>
        <v>37.5</v>
      </c>
      <c r="Q221" s="29">
        <f t="shared" si="26"/>
        <v>37.5</v>
      </c>
      <c r="R221" s="7">
        <v>1406.25</v>
      </c>
      <c r="S221" s="27"/>
      <c r="T221" s="32">
        <f t="shared" si="27"/>
        <v>0</v>
      </c>
      <c r="U221" s="27"/>
      <c r="V221">
        <f t="shared" si="28"/>
        <v>8.5748321428571419</v>
      </c>
      <c r="W221" s="31">
        <f t="shared" si="29"/>
        <v>109.81055368630491</v>
      </c>
      <c r="X221" s="33"/>
      <c r="Y221" t="str">
        <f>IF(Ondergrondscenarios[[#This Row],[Scenariotype '[-']]]="-","",IF(Ondergrondscenarios[[#This Row],[Scenariotype '[-']]]="Pleistoceen",VLOOKUP(Ondergrondscenarios[[#This Row],[Vaknaam '[-']]],DataDijkvakken[#All],8,FALSE),VLOOKUP(Ondergrondscenarios[[#This Row],[Vaknaam '[-']]],DataDijkvakken[#All],7,FALSE)))</f>
        <v/>
      </c>
      <c r="Z221">
        <f>VLOOKUP($C221,DataDijkvakken[#All],3,FALSE)</f>
        <v>18</v>
      </c>
      <c r="AA221" s="8"/>
    </row>
    <row r="222" spans="1:27" x14ac:dyDescent="0.3">
      <c r="A222">
        <f>IFERROR(IF(Ondergrondscenarios[[#This Row],[Scenarionaam '[-']]]="","",A221+1),1)</f>
        <v>221</v>
      </c>
      <c r="B222">
        <f>A223/6</f>
        <v>37</v>
      </c>
      <c r="C222" t="str">
        <f>VLOOKUP(Ondergrondscenarios[[#This Row],[VakID '[-']]],DataDijkvakken!A:I,2,FALSE)</f>
        <v>10b</v>
      </c>
      <c r="D222" s="8" t="str">
        <f>GenererenScenarios!$B$7</f>
        <v>P_S5</v>
      </c>
      <c r="E222" s="8" t="str">
        <f>GenererenScenarios!$C$7</f>
        <v>-</v>
      </c>
      <c r="F222" s="26">
        <v>0</v>
      </c>
      <c r="G222" s="29">
        <f>VLOOKUP($C222,DataDijkvakken!$B:$G,2,FALSE)</f>
        <v>0.85748321428571417</v>
      </c>
      <c r="H222" s="7"/>
      <c r="I222" s="7"/>
      <c r="J222" s="29"/>
      <c r="K222" s="29">
        <f t="shared" si="24"/>
        <v>0.85748321428571417</v>
      </c>
      <c r="L222" s="7"/>
      <c r="M222" s="29">
        <f>IF(Ondergrondscenarios[[#This Row],[Scenariotype '[-']]]="Tussenzandlaag",0,VLOOKUP($C222,DataDijkvakken[#All],4,FALSE))</f>
        <v>37.5</v>
      </c>
      <c r="N222" s="29">
        <f t="shared" si="25"/>
        <v>37.5</v>
      </c>
      <c r="O222" s="29">
        <f>VLOOKUP($C222,DataDijkvakken!$B:$G,5,FALSE)</f>
        <v>15</v>
      </c>
      <c r="P222" s="29">
        <f>VLOOKUP($C222,DataDijkvakken!$B:$G,6,FALSE)</f>
        <v>37.5</v>
      </c>
      <c r="Q222" s="29">
        <f t="shared" si="26"/>
        <v>37.5</v>
      </c>
      <c r="R222" s="7">
        <v>1406.25</v>
      </c>
      <c r="S222" s="27"/>
      <c r="T222" s="32">
        <f t="shared" si="27"/>
        <v>0</v>
      </c>
      <c r="U222" s="27"/>
      <c r="V222">
        <f t="shared" si="28"/>
        <v>8.5748321428571419</v>
      </c>
      <c r="W222" s="31">
        <f t="shared" si="29"/>
        <v>109.81055368630491</v>
      </c>
      <c r="X222" s="33"/>
      <c r="Y222" t="str">
        <f>IF(Ondergrondscenarios[[#This Row],[Scenariotype '[-']]]="-","",IF(Ondergrondscenarios[[#This Row],[Scenariotype '[-']]]="Pleistoceen",VLOOKUP(Ondergrondscenarios[[#This Row],[Vaknaam '[-']]],DataDijkvakken[#All],8,FALSE),VLOOKUP(Ondergrondscenarios[[#This Row],[Vaknaam '[-']]],DataDijkvakken[#All],7,FALSE)))</f>
        <v/>
      </c>
      <c r="Z222">
        <f>VLOOKUP($C222,DataDijkvakken[#All],3,FALSE)</f>
        <v>18</v>
      </c>
      <c r="AA222" s="8"/>
    </row>
    <row r="223" spans="1:27" x14ac:dyDescent="0.3">
      <c r="A223">
        <f>IFERROR(IF(Ondergrondscenarios[[#This Row],[Scenarionaam '[-']]]="","",A222+1),1)</f>
        <v>222</v>
      </c>
      <c r="B223">
        <f>A223/6</f>
        <v>37</v>
      </c>
      <c r="C223" t="str">
        <f>VLOOKUP(Ondergrondscenarios[[#This Row],[VakID '[-']]],DataDijkvakken!A:I,2,FALSE)</f>
        <v>10b</v>
      </c>
      <c r="D223" s="8" t="str">
        <f>GenererenScenarios!$B$8</f>
        <v>P_S6</v>
      </c>
      <c r="E223" s="8" t="str">
        <f>GenererenScenarios!$C$8</f>
        <v>-</v>
      </c>
      <c r="F223" s="26">
        <v>0</v>
      </c>
      <c r="G223" s="29">
        <f>VLOOKUP($C223,DataDijkvakken!$B:$G,2,FALSE)</f>
        <v>0.85748321428571417</v>
      </c>
      <c r="H223" s="7"/>
      <c r="I223" s="7"/>
      <c r="J223" s="29"/>
      <c r="K223" s="29">
        <f t="shared" si="24"/>
        <v>0.85748321428571417</v>
      </c>
      <c r="L223" s="7"/>
      <c r="M223" s="29">
        <f>IF(Ondergrondscenarios[[#This Row],[Scenariotype '[-']]]="Tussenzandlaag",0,VLOOKUP($C223,DataDijkvakken[#All],4,FALSE))</f>
        <v>37.5</v>
      </c>
      <c r="N223" s="29">
        <f t="shared" si="25"/>
        <v>37.5</v>
      </c>
      <c r="O223" s="29">
        <f>VLOOKUP($C223,DataDijkvakken!$B:$G,5,FALSE)</f>
        <v>15</v>
      </c>
      <c r="P223" s="29">
        <f>VLOOKUP($C223,DataDijkvakken!$B:$G,6,FALSE)</f>
        <v>37.5</v>
      </c>
      <c r="Q223" s="29">
        <f t="shared" si="26"/>
        <v>37.5</v>
      </c>
      <c r="R223" s="7">
        <v>1406.25</v>
      </c>
      <c r="S223" s="27"/>
      <c r="T223" s="32">
        <f t="shared" si="27"/>
        <v>0</v>
      </c>
      <c r="U223" s="27"/>
      <c r="V223">
        <f t="shared" si="28"/>
        <v>8.5748321428571419</v>
      </c>
      <c r="W223" s="31">
        <f t="shared" si="29"/>
        <v>109.81055368630491</v>
      </c>
      <c r="X223" s="33"/>
      <c r="Y223" t="str">
        <f>IF(Ondergrondscenarios[[#This Row],[Scenariotype '[-']]]="-","",IF(Ondergrondscenarios[[#This Row],[Scenariotype '[-']]]="Pleistoceen",VLOOKUP(Ondergrondscenarios[[#This Row],[Vaknaam '[-']]],DataDijkvakken[#All],8,FALSE),VLOOKUP(Ondergrondscenarios[[#This Row],[Vaknaam '[-']]],DataDijkvakken[#All],7,FALSE)))</f>
        <v/>
      </c>
      <c r="Z223">
        <f>VLOOKUP($C223,DataDijkvakken[#All],3,FALSE)</f>
        <v>18</v>
      </c>
      <c r="AA223" s="8"/>
    </row>
    <row r="224" spans="1:27" x14ac:dyDescent="0.3">
      <c r="A224">
        <f>IFERROR(IF(Ondergrondscenarios[[#This Row],[Scenarionaam '[-']]]="","",A223+1),1)</f>
        <v>223</v>
      </c>
      <c r="B224">
        <f>A229/6</f>
        <v>38</v>
      </c>
      <c r="C224" t="str">
        <f>VLOOKUP(Ondergrondscenarios[[#This Row],[VakID '[-']]],DataDijkvakken!A:I,2,FALSE)</f>
        <v>11a</v>
      </c>
      <c r="D224" s="8" t="str">
        <f>GenererenScenarios!$B$3</f>
        <v>P_S1_PL</v>
      </c>
      <c r="E224" s="8" t="str">
        <f>GenererenScenarios!$C$3</f>
        <v>Pleistoceen</v>
      </c>
      <c r="F224" s="26">
        <v>0.33</v>
      </c>
      <c r="G224" s="29">
        <f>VLOOKUP($C224,DataDijkvakken!$B:$G,2,FALSE)</f>
        <v>0.75514916666666665</v>
      </c>
      <c r="H224" s="7"/>
      <c r="I224" s="7"/>
      <c r="J224" s="29">
        <v>-8.5</v>
      </c>
      <c r="K224" s="29">
        <f t="shared" si="24"/>
        <v>9.2551491666666674</v>
      </c>
      <c r="L224" s="7">
        <v>0</v>
      </c>
      <c r="M224" s="29">
        <f>IF(Ondergrondscenarios[[#This Row],[Scenariotype '[-']]]="Tussenzandlaag",0,VLOOKUP($C224,DataDijkvakken[#All],4,FALSE))</f>
        <v>37.5</v>
      </c>
      <c r="N224" s="29">
        <f t="shared" si="25"/>
        <v>37.5</v>
      </c>
      <c r="O224" s="29">
        <f>VLOOKUP($C224,DataDijkvakken!$B:$G,5,FALSE)</f>
        <v>15</v>
      </c>
      <c r="P224" s="29">
        <f>VLOOKUP($C224,DataDijkvakken!$B:$G,6,FALSE)</f>
        <v>37.5</v>
      </c>
      <c r="Q224" s="29">
        <f t="shared" si="26"/>
        <v>37.5</v>
      </c>
      <c r="R224" s="7">
        <v>1406.25</v>
      </c>
      <c r="S224" s="27"/>
      <c r="T224" s="32">
        <f t="shared" si="27"/>
        <v>0</v>
      </c>
      <c r="U224" s="27"/>
      <c r="V224">
        <f t="shared" si="28"/>
        <v>790.51491666666675</v>
      </c>
      <c r="W224" s="31">
        <f t="shared" si="29"/>
        <v>1054.3536416034708</v>
      </c>
      <c r="X224" s="33"/>
      <c r="Y224">
        <f>IF(Ondergrondscenarios[[#This Row],[Scenariotype '[-']]]="-","",IF(Ondergrondscenarios[[#This Row],[Scenariotype '[-']]]="Pleistoceen",VLOOKUP(Ondergrondscenarios[[#This Row],[Vaknaam '[-']]],DataDijkvakken[#All],8,FALSE),VLOOKUP(Ondergrondscenarios[[#This Row],[Vaknaam '[-']]],DataDijkvakken[#All],7,FALSE)))</f>
        <v>3.5000000000000005E-4</v>
      </c>
      <c r="Z224">
        <f>VLOOKUP($C224,DataDijkvakken[#All],3,FALSE)</f>
        <v>16</v>
      </c>
      <c r="AA224" s="8"/>
    </row>
    <row r="225" spans="1:27" x14ac:dyDescent="0.3">
      <c r="A225">
        <f>IFERROR(IF(Ondergrondscenarios[[#This Row],[Scenarionaam '[-']]]="","",A224+1),1)</f>
        <v>224</v>
      </c>
      <c r="B225">
        <f>A229/6</f>
        <v>38</v>
      </c>
      <c r="C225" t="str">
        <f>VLOOKUP(Ondergrondscenarios[[#This Row],[VakID '[-']]],DataDijkvakken!A:I,2,FALSE)</f>
        <v>11a</v>
      </c>
      <c r="D225" s="8" t="str">
        <f>GenererenScenarios!$B$4</f>
        <v>P_S2_HL_F</v>
      </c>
      <c r="E225" s="8" t="str">
        <f>GenererenScenarios!$C$4</f>
        <v>Holoceen</v>
      </c>
      <c r="F225" s="26">
        <v>0.33</v>
      </c>
      <c r="G225" s="29">
        <f>VLOOKUP($C225,DataDijkvakken!$B:$G,2,FALSE)</f>
        <v>0.75514916666666665</v>
      </c>
      <c r="H225" s="7"/>
      <c r="I225" s="7"/>
      <c r="J225" s="29">
        <v>1</v>
      </c>
      <c r="K225" s="29">
        <f t="shared" si="24"/>
        <v>0</v>
      </c>
      <c r="L225" s="7">
        <v>9.5</v>
      </c>
      <c r="M225" s="29">
        <f>IF(Ondergrondscenarios[[#This Row],[Scenariotype '[-']]]="Tussenzandlaag",0,VLOOKUP($C225,DataDijkvakken[#All],4,FALSE))</f>
        <v>37.5</v>
      </c>
      <c r="N225" s="29">
        <f t="shared" si="25"/>
        <v>47</v>
      </c>
      <c r="O225" s="29">
        <f>VLOOKUP($C225,DataDijkvakken!$B:$G,5,FALSE)</f>
        <v>15</v>
      </c>
      <c r="P225" s="29">
        <f>VLOOKUP($C225,DataDijkvakken!$B:$G,6,FALSE)</f>
        <v>37.5</v>
      </c>
      <c r="Q225" s="29">
        <f t="shared" si="26"/>
        <v>32.952127659574465</v>
      </c>
      <c r="R225" s="7">
        <v>1548.7499999999998</v>
      </c>
      <c r="S225" s="27"/>
      <c r="T225" s="32">
        <f t="shared" si="27"/>
        <v>0</v>
      </c>
      <c r="U225" s="27"/>
      <c r="V225">
        <f t="shared" si="28"/>
        <v>0</v>
      </c>
      <c r="W225" s="31">
        <f t="shared" si="29"/>
        <v>0</v>
      </c>
      <c r="X225" s="33"/>
      <c r="Y225">
        <f>IF(Ondergrondscenarios[[#This Row],[Scenariotype '[-']]]="-","",IF(Ondergrondscenarios[[#This Row],[Scenariotype '[-']]]="Pleistoceen",VLOOKUP(Ondergrondscenarios[[#This Row],[Vaknaam '[-']]],DataDijkvakken[#All],8,FALSE),VLOOKUP(Ondergrondscenarios[[#This Row],[Vaknaam '[-']]],DataDijkvakken[#All],7,FALSE)))</f>
        <v>2.5999999999999998E-4</v>
      </c>
      <c r="Z225">
        <f>VLOOKUP($C225,DataDijkvakken[#All],3,FALSE)</f>
        <v>16</v>
      </c>
      <c r="AA225" s="8"/>
    </row>
    <row r="226" spans="1:27" x14ac:dyDescent="0.3">
      <c r="A226">
        <f>IFERROR(IF(Ondergrondscenarios[[#This Row],[Scenarionaam '[-']]]="","",A225+1),1)</f>
        <v>225</v>
      </c>
      <c r="B226">
        <f>A229/6</f>
        <v>38</v>
      </c>
      <c r="C226" t="str">
        <f>VLOOKUP(Ondergrondscenarios[[#This Row],[VakID '[-']]],DataDijkvakken!A:I,2,FALSE)</f>
        <v>11a</v>
      </c>
      <c r="D226" s="8" t="str">
        <f>GenererenScenarios!$B$5</f>
        <v>P_S3_HL_TZ</v>
      </c>
      <c r="E226" s="8" t="str">
        <f>GenererenScenarios!$C$5</f>
        <v>Tussenzandlaag</v>
      </c>
      <c r="F226" s="26">
        <v>0</v>
      </c>
      <c r="G226" s="29">
        <f>VLOOKUP($C226,DataDijkvakken!$B:$G,2,FALSE)</f>
        <v>0.75514916666666665</v>
      </c>
      <c r="H226" s="7"/>
      <c r="I226" s="7"/>
      <c r="J226" s="29"/>
      <c r="K226" s="29">
        <f t="shared" si="24"/>
        <v>0.75514916666666665</v>
      </c>
      <c r="L226" s="7"/>
      <c r="M226" s="29">
        <f>IF(Ondergrondscenarios[[#This Row],[Scenariotype '[-']]]="Tussenzandlaag",0,VLOOKUP($C226,DataDijkvakken[#All],4,FALSE))</f>
        <v>0</v>
      </c>
      <c r="N226" s="29">
        <f t="shared" si="25"/>
        <v>0.1</v>
      </c>
      <c r="O226" s="29">
        <f>VLOOKUP($C226,DataDijkvakken!$B:$G,5,FALSE)</f>
        <v>15</v>
      </c>
      <c r="P226" s="29">
        <f>VLOOKUP($C226,DataDijkvakken!$B:$G,6,FALSE)</f>
        <v>37.5</v>
      </c>
      <c r="Q226" s="29">
        <f t="shared" si="26"/>
        <v>0.1</v>
      </c>
      <c r="R226" s="7">
        <v>1.0000000000000002E-2</v>
      </c>
      <c r="S226" s="27"/>
      <c r="T226" s="32">
        <f t="shared" si="27"/>
        <v>0</v>
      </c>
      <c r="U226" s="27"/>
      <c r="V226">
        <f t="shared" si="28"/>
        <v>7.5514916666666663</v>
      </c>
      <c r="W226" s="31">
        <f t="shared" si="29"/>
        <v>0.27479977559428004</v>
      </c>
      <c r="X226" s="33"/>
      <c r="Y226">
        <f>IF(Ondergrondscenarios[[#This Row],[Scenariotype '[-']]]="-","",IF(Ondergrondscenarios[[#This Row],[Scenariotype '[-']]]="Pleistoceen",VLOOKUP(Ondergrondscenarios[[#This Row],[Vaknaam '[-']]],DataDijkvakken[#All],8,FALSE),VLOOKUP(Ondergrondscenarios[[#This Row],[Vaknaam '[-']]],DataDijkvakken[#All],7,FALSE)))</f>
        <v>2.5999999999999998E-4</v>
      </c>
      <c r="Z226">
        <f>VLOOKUP($C226,DataDijkvakken[#All],3,FALSE)</f>
        <v>16</v>
      </c>
      <c r="AA226" s="8"/>
    </row>
    <row r="227" spans="1:27" x14ac:dyDescent="0.3">
      <c r="A227">
        <f>IFERROR(IF(Ondergrondscenarios[[#This Row],[Scenarionaam '[-']]]="","",A226+1),1)</f>
        <v>226</v>
      </c>
      <c r="B227">
        <f>A229/6</f>
        <v>38</v>
      </c>
      <c r="C227" t="str">
        <f>VLOOKUP(Ondergrondscenarios[[#This Row],[VakID '[-']]],DataDijkvakken!A:I,2,FALSE)</f>
        <v>11a</v>
      </c>
      <c r="D227" s="8" t="str">
        <f>GenererenScenarios!$B$6</f>
        <v>P_S4</v>
      </c>
      <c r="E227" s="8" t="str">
        <f>GenererenScenarios!$C$6</f>
        <v>-</v>
      </c>
      <c r="F227" s="26">
        <v>0.34</v>
      </c>
      <c r="G227" s="29">
        <f>VLOOKUP($C227,DataDijkvakken!$B:$G,2,FALSE)</f>
        <v>0.75514916666666665</v>
      </c>
      <c r="H227" s="7"/>
      <c r="I227" s="7"/>
      <c r="J227" s="29">
        <v>-5</v>
      </c>
      <c r="K227" s="29">
        <f t="shared" si="24"/>
        <v>5.7551491666666665</v>
      </c>
      <c r="L227" s="7">
        <v>3.5</v>
      </c>
      <c r="M227" s="29">
        <f>IF(Ondergrondscenarios[[#This Row],[Scenariotype '[-']]]="Tussenzandlaag",0,VLOOKUP($C227,DataDijkvakken[#All],4,FALSE))</f>
        <v>37.5</v>
      </c>
      <c r="N227" s="29">
        <f t="shared" si="25"/>
        <v>41</v>
      </c>
      <c r="O227" s="29">
        <f>VLOOKUP($C227,DataDijkvakken!$B:$G,5,FALSE)</f>
        <v>15</v>
      </c>
      <c r="P227" s="29">
        <f>VLOOKUP($C227,DataDijkvakken!$B:$G,6,FALSE)</f>
        <v>37.5</v>
      </c>
      <c r="Q227" s="29">
        <f t="shared" si="26"/>
        <v>35.579268292682926</v>
      </c>
      <c r="R227" s="7">
        <v>1458.75</v>
      </c>
      <c r="S227" s="27"/>
      <c r="T227" s="32">
        <f t="shared" si="27"/>
        <v>0</v>
      </c>
      <c r="U227" s="27"/>
      <c r="V227">
        <f t="shared" si="28"/>
        <v>440.51491666666664</v>
      </c>
      <c r="W227" s="31">
        <f t="shared" si="29"/>
        <v>801.62406069647136</v>
      </c>
      <c r="X227" s="33"/>
      <c r="Y227" t="str">
        <f>IF(Ondergrondscenarios[[#This Row],[Scenariotype '[-']]]="-","",IF(Ondergrondscenarios[[#This Row],[Scenariotype '[-']]]="Pleistoceen",VLOOKUP(Ondergrondscenarios[[#This Row],[Vaknaam '[-']]],DataDijkvakken[#All],8,FALSE),VLOOKUP(Ondergrondscenarios[[#This Row],[Vaknaam '[-']]],DataDijkvakken[#All],7,FALSE)))</f>
        <v/>
      </c>
      <c r="Z227">
        <f>VLOOKUP($C227,DataDijkvakken[#All],3,FALSE)</f>
        <v>16</v>
      </c>
      <c r="AA227" s="8"/>
    </row>
    <row r="228" spans="1:27" x14ac:dyDescent="0.3">
      <c r="A228">
        <f>IFERROR(IF(Ondergrondscenarios[[#This Row],[Scenarionaam '[-']]]="","",A227+1),1)</f>
        <v>227</v>
      </c>
      <c r="B228">
        <f>A229/6</f>
        <v>38</v>
      </c>
      <c r="C228" t="str">
        <f>VLOOKUP(Ondergrondscenarios[[#This Row],[VakID '[-']]],DataDijkvakken!A:I,2,FALSE)</f>
        <v>11a</v>
      </c>
      <c r="D228" s="8" t="str">
        <f>GenererenScenarios!$B$7</f>
        <v>P_S5</v>
      </c>
      <c r="E228" s="8" t="str">
        <f>GenererenScenarios!$C$7</f>
        <v>-</v>
      </c>
      <c r="F228" s="26">
        <v>0</v>
      </c>
      <c r="G228" s="29">
        <f>VLOOKUP($C228,DataDijkvakken!$B:$G,2,FALSE)</f>
        <v>0.75514916666666665</v>
      </c>
      <c r="H228" s="7"/>
      <c r="I228" s="7"/>
      <c r="J228" s="29"/>
      <c r="K228" s="29">
        <f t="shared" si="24"/>
        <v>0.75514916666666665</v>
      </c>
      <c r="L228" s="7"/>
      <c r="M228" s="29">
        <f>IF(Ondergrondscenarios[[#This Row],[Scenariotype '[-']]]="Tussenzandlaag",0,VLOOKUP($C228,DataDijkvakken[#All],4,FALSE))</f>
        <v>37.5</v>
      </c>
      <c r="N228" s="29">
        <f t="shared" si="25"/>
        <v>37.5</v>
      </c>
      <c r="O228" s="29">
        <f>VLOOKUP($C228,DataDijkvakken!$B:$G,5,FALSE)</f>
        <v>15</v>
      </c>
      <c r="P228" s="29">
        <f>VLOOKUP($C228,DataDijkvakken!$B:$G,6,FALSE)</f>
        <v>37.5</v>
      </c>
      <c r="Q228" s="29">
        <f t="shared" si="26"/>
        <v>37.5</v>
      </c>
      <c r="R228" s="7">
        <v>1406.25</v>
      </c>
      <c r="S228" s="27"/>
      <c r="T228" s="32">
        <f t="shared" si="27"/>
        <v>0</v>
      </c>
      <c r="U228" s="27"/>
      <c r="V228">
        <f t="shared" si="28"/>
        <v>7.5514916666666663</v>
      </c>
      <c r="W228" s="31">
        <f t="shared" si="29"/>
        <v>103.04991584785502</v>
      </c>
      <c r="X228" s="33"/>
      <c r="Y228" t="str">
        <f>IF(Ondergrondscenarios[[#This Row],[Scenariotype '[-']]]="-","",IF(Ondergrondscenarios[[#This Row],[Scenariotype '[-']]]="Pleistoceen",VLOOKUP(Ondergrondscenarios[[#This Row],[Vaknaam '[-']]],DataDijkvakken[#All],8,FALSE),VLOOKUP(Ondergrondscenarios[[#This Row],[Vaknaam '[-']]],DataDijkvakken[#All],7,FALSE)))</f>
        <v/>
      </c>
      <c r="Z228">
        <f>VLOOKUP($C228,DataDijkvakken[#All],3,FALSE)</f>
        <v>16</v>
      </c>
      <c r="AA228" s="8"/>
    </row>
    <row r="229" spans="1:27" x14ac:dyDescent="0.3">
      <c r="A229">
        <f>IFERROR(IF(Ondergrondscenarios[[#This Row],[Scenarionaam '[-']]]="","",A228+1),1)</f>
        <v>228</v>
      </c>
      <c r="B229">
        <f>A229/6</f>
        <v>38</v>
      </c>
      <c r="C229" t="str">
        <f>VLOOKUP(Ondergrondscenarios[[#This Row],[VakID '[-']]],DataDijkvakken!A:I,2,FALSE)</f>
        <v>11a</v>
      </c>
      <c r="D229" s="8" t="str">
        <f>GenererenScenarios!$B$8</f>
        <v>P_S6</v>
      </c>
      <c r="E229" s="8" t="str">
        <f>GenererenScenarios!$C$8</f>
        <v>-</v>
      </c>
      <c r="F229" s="26">
        <v>0</v>
      </c>
      <c r="G229" s="29">
        <f>VLOOKUP($C229,DataDijkvakken!$B:$G,2,FALSE)</f>
        <v>0.75514916666666665</v>
      </c>
      <c r="H229" s="7"/>
      <c r="I229" s="7"/>
      <c r="J229" s="29"/>
      <c r="K229" s="29">
        <f t="shared" si="24"/>
        <v>0.75514916666666665</v>
      </c>
      <c r="L229" s="7"/>
      <c r="M229" s="29">
        <f>IF(Ondergrondscenarios[[#This Row],[Scenariotype '[-']]]="Tussenzandlaag",0,VLOOKUP($C229,DataDijkvakken[#All],4,FALSE))</f>
        <v>37.5</v>
      </c>
      <c r="N229" s="29">
        <f t="shared" si="25"/>
        <v>37.5</v>
      </c>
      <c r="O229" s="29">
        <f>VLOOKUP($C229,DataDijkvakken!$B:$G,5,FALSE)</f>
        <v>15</v>
      </c>
      <c r="P229" s="29">
        <f>VLOOKUP($C229,DataDijkvakken!$B:$G,6,FALSE)</f>
        <v>37.5</v>
      </c>
      <c r="Q229" s="29">
        <f t="shared" si="26"/>
        <v>37.5</v>
      </c>
      <c r="R229" s="7">
        <v>1406.25</v>
      </c>
      <c r="S229" s="27"/>
      <c r="T229" s="32">
        <f t="shared" si="27"/>
        <v>0</v>
      </c>
      <c r="U229" s="27"/>
      <c r="V229">
        <f t="shared" si="28"/>
        <v>7.5514916666666663</v>
      </c>
      <c r="W229" s="31">
        <f t="shared" si="29"/>
        <v>103.04991584785502</v>
      </c>
      <c r="X229" s="33"/>
      <c r="Y229" t="str">
        <f>IF(Ondergrondscenarios[[#This Row],[Scenariotype '[-']]]="-","",IF(Ondergrondscenarios[[#This Row],[Scenariotype '[-']]]="Pleistoceen",VLOOKUP(Ondergrondscenarios[[#This Row],[Vaknaam '[-']]],DataDijkvakken[#All],8,FALSE),VLOOKUP(Ondergrondscenarios[[#This Row],[Vaknaam '[-']]],DataDijkvakken[#All],7,FALSE)))</f>
        <v/>
      </c>
      <c r="Z229">
        <f>VLOOKUP($C229,DataDijkvakken[#All],3,FALSE)</f>
        <v>16</v>
      </c>
      <c r="AA229" s="8"/>
    </row>
    <row r="230" spans="1:27" x14ac:dyDescent="0.3">
      <c r="A230">
        <f>IFERROR(IF(Ondergrondscenarios[[#This Row],[Scenarionaam '[-']]]="","",A229+1),1)</f>
        <v>229</v>
      </c>
      <c r="B230">
        <f>A235/6</f>
        <v>39</v>
      </c>
      <c r="C230" t="str">
        <f>VLOOKUP(Ondergrondscenarios[[#This Row],[VakID '[-']]],DataDijkvakken!A:I,2,FALSE)</f>
        <v>12a</v>
      </c>
      <c r="D230" s="8" t="str">
        <f>GenererenScenarios!$B$3</f>
        <v>P_S1_PL</v>
      </c>
      <c r="E230" s="8" t="str">
        <f>GenererenScenarios!$C$3</f>
        <v>Pleistoceen</v>
      </c>
      <c r="F230" s="26">
        <v>0.8</v>
      </c>
      <c r="G230" s="29">
        <f>VLOOKUP($C230,DataDijkvakken!$B:$G,2,FALSE)</f>
        <v>0.79371423809523822</v>
      </c>
      <c r="H230" s="7"/>
      <c r="I230" s="7"/>
      <c r="J230" s="29">
        <v>-8</v>
      </c>
      <c r="K230" s="29">
        <f t="shared" si="24"/>
        <v>8.7937142380952373</v>
      </c>
      <c r="L230" s="7">
        <v>0</v>
      </c>
      <c r="M230" s="29">
        <f>IF(Ondergrondscenarios[[#This Row],[Scenariotype '[-']]]="Tussenzandlaag",0,VLOOKUP($C230,DataDijkvakken[#All],4,FALSE))</f>
        <v>37.5</v>
      </c>
      <c r="N230" s="29">
        <f t="shared" si="25"/>
        <v>37.5</v>
      </c>
      <c r="O230" s="29">
        <f>VLOOKUP($C230,DataDijkvakken!$B:$G,5,FALSE)</f>
        <v>15</v>
      </c>
      <c r="P230" s="29">
        <f>VLOOKUP($C230,DataDijkvakken!$B:$G,6,FALSE)</f>
        <v>37.5</v>
      </c>
      <c r="Q230" s="29">
        <f t="shared" si="26"/>
        <v>37.5</v>
      </c>
      <c r="R230" s="7">
        <v>1406.25</v>
      </c>
      <c r="S230" s="27"/>
      <c r="T230" s="32">
        <f t="shared" si="27"/>
        <v>0</v>
      </c>
      <c r="U230" s="27"/>
      <c r="V230">
        <f t="shared" si="28"/>
        <v>744.37142380952366</v>
      </c>
      <c r="W230" s="31">
        <f t="shared" si="29"/>
        <v>1023.1189152450181</v>
      </c>
      <c r="X230" s="33"/>
      <c r="Y230">
        <f>IF(Ondergrondscenarios[[#This Row],[Scenariotype '[-']]]="-","",IF(Ondergrondscenarios[[#This Row],[Scenariotype '[-']]]="Pleistoceen",VLOOKUP(Ondergrondscenarios[[#This Row],[Vaknaam '[-']]],DataDijkvakken[#All],8,FALSE),VLOOKUP(Ondergrondscenarios[[#This Row],[Vaknaam '[-']]],DataDijkvakken[#All],7,FALSE)))</f>
        <v>3.5000000000000005E-4</v>
      </c>
      <c r="Z230">
        <f>VLOOKUP($C230,DataDijkvakken[#All],3,FALSE)</f>
        <v>16</v>
      </c>
      <c r="AA230" s="8"/>
    </row>
    <row r="231" spans="1:27" x14ac:dyDescent="0.3">
      <c r="A231">
        <f>IFERROR(IF(Ondergrondscenarios[[#This Row],[Scenarionaam '[-']]]="","",A230+1),1)</f>
        <v>230</v>
      </c>
      <c r="B231">
        <f>A235/6</f>
        <v>39</v>
      </c>
      <c r="C231" t="str">
        <f>VLOOKUP(Ondergrondscenarios[[#This Row],[VakID '[-']]],DataDijkvakken!A:I,2,FALSE)</f>
        <v>12a</v>
      </c>
      <c r="D231" s="8" t="str">
        <f>GenererenScenarios!$B$4</f>
        <v>P_S2_HL_F</v>
      </c>
      <c r="E231" s="8" t="str">
        <f>GenererenScenarios!$C$4</f>
        <v>Holoceen</v>
      </c>
      <c r="F231" s="26">
        <v>0.2</v>
      </c>
      <c r="G231" s="29">
        <f>VLOOKUP($C231,DataDijkvakken!$B:$G,2,FALSE)</f>
        <v>0.79371423809523822</v>
      </c>
      <c r="H231" s="7"/>
      <c r="I231" s="7"/>
      <c r="J231" s="29">
        <v>-5</v>
      </c>
      <c r="K231" s="29">
        <f t="shared" si="24"/>
        <v>5.7937142380952382</v>
      </c>
      <c r="L231" s="7">
        <v>3</v>
      </c>
      <c r="M231" s="29">
        <f>IF(Ondergrondscenarios[[#This Row],[Scenariotype '[-']]]="Tussenzandlaag",0,VLOOKUP($C231,DataDijkvakken[#All],4,FALSE))</f>
        <v>37.5</v>
      </c>
      <c r="N231" s="29">
        <f t="shared" si="25"/>
        <v>40.5</v>
      </c>
      <c r="O231" s="29">
        <f>VLOOKUP($C231,DataDijkvakken!$B:$G,5,FALSE)</f>
        <v>15</v>
      </c>
      <c r="P231" s="29">
        <f>VLOOKUP($C231,DataDijkvakken!$B:$G,6,FALSE)</f>
        <v>37.5</v>
      </c>
      <c r="Q231" s="29">
        <f t="shared" si="26"/>
        <v>35.833333333333336</v>
      </c>
      <c r="R231" s="7">
        <v>1451.25</v>
      </c>
      <c r="S231" s="27"/>
      <c r="T231" s="32">
        <f t="shared" si="27"/>
        <v>0</v>
      </c>
      <c r="U231" s="27"/>
      <c r="V231">
        <f t="shared" si="28"/>
        <v>444.37142380952383</v>
      </c>
      <c r="W231" s="31">
        <f t="shared" si="29"/>
        <v>803.05294271521814</v>
      </c>
      <c r="X231" s="33"/>
      <c r="Y231">
        <f>IF(Ondergrondscenarios[[#This Row],[Scenariotype '[-']]]="-","",IF(Ondergrondscenarios[[#This Row],[Scenariotype '[-']]]="Pleistoceen",VLOOKUP(Ondergrondscenarios[[#This Row],[Vaknaam '[-']]],DataDijkvakken[#All],8,FALSE),VLOOKUP(Ondergrondscenarios[[#This Row],[Vaknaam '[-']]],DataDijkvakken[#All],7,FALSE)))</f>
        <v>2.5999999999999998E-4</v>
      </c>
      <c r="Z231">
        <f>VLOOKUP($C231,DataDijkvakken[#All],3,FALSE)</f>
        <v>16</v>
      </c>
      <c r="AA231" s="8"/>
    </row>
    <row r="232" spans="1:27" x14ac:dyDescent="0.3">
      <c r="A232">
        <f>IFERROR(IF(Ondergrondscenarios[[#This Row],[Scenarionaam '[-']]]="","",A231+1),1)</f>
        <v>231</v>
      </c>
      <c r="B232">
        <f>A235/6</f>
        <v>39</v>
      </c>
      <c r="C232" t="str">
        <f>VLOOKUP(Ondergrondscenarios[[#This Row],[VakID '[-']]],DataDijkvakken!A:I,2,FALSE)</f>
        <v>12a</v>
      </c>
      <c r="D232" s="8" t="str">
        <f>GenererenScenarios!$B$5</f>
        <v>P_S3_HL_TZ</v>
      </c>
      <c r="E232" s="8" t="str">
        <f>GenererenScenarios!$C$5</f>
        <v>Tussenzandlaag</v>
      </c>
      <c r="F232" s="26">
        <v>0</v>
      </c>
      <c r="G232" s="29">
        <f>VLOOKUP($C232,DataDijkvakken!$B:$G,2,FALSE)</f>
        <v>0.79371423809523822</v>
      </c>
      <c r="H232" s="7"/>
      <c r="I232" s="7"/>
      <c r="J232" s="29"/>
      <c r="K232" s="29">
        <f t="shared" si="24"/>
        <v>0.79371423809523822</v>
      </c>
      <c r="L232" s="7"/>
      <c r="M232" s="29">
        <f>IF(Ondergrondscenarios[[#This Row],[Scenariotype '[-']]]="Tussenzandlaag",0,VLOOKUP($C232,DataDijkvakken[#All],4,FALSE))</f>
        <v>0</v>
      </c>
      <c r="N232" s="29">
        <f t="shared" si="25"/>
        <v>0.1</v>
      </c>
      <c r="O232" s="29">
        <f>VLOOKUP($C232,DataDijkvakken!$B:$G,5,FALSE)</f>
        <v>15</v>
      </c>
      <c r="P232" s="29">
        <f>VLOOKUP($C232,DataDijkvakken!$B:$G,6,FALSE)</f>
        <v>37.5</v>
      </c>
      <c r="Q232" s="29">
        <f t="shared" si="26"/>
        <v>0.1</v>
      </c>
      <c r="R232" s="7">
        <v>1.0000000000000002E-2</v>
      </c>
      <c r="S232" s="27"/>
      <c r="T232" s="32">
        <f t="shared" si="27"/>
        <v>0</v>
      </c>
      <c r="U232" s="27"/>
      <c r="V232">
        <f t="shared" si="28"/>
        <v>7.9371423809523822</v>
      </c>
      <c r="W232" s="31">
        <f t="shared" si="29"/>
        <v>0.28172934495633184</v>
      </c>
      <c r="X232" s="33"/>
      <c r="Y232">
        <f>IF(Ondergrondscenarios[[#This Row],[Scenariotype '[-']]]="-","",IF(Ondergrondscenarios[[#This Row],[Scenariotype '[-']]]="Pleistoceen",VLOOKUP(Ondergrondscenarios[[#This Row],[Vaknaam '[-']]],DataDijkvakken[#All],8,FALSE),VLOOKUP(Ondergrondscenarios[[#This Row],[Vaknaam '[-']]],DataDijkvakken[#All],7,FALSE)))</f>
        <v>2.5999999999999998E-4</v>
      </c>
      <c r="Z232">
        <f>VLOOKUP($C232,DataDijkvakken[#All],3,FALSE)</f>
        <v>16</v>
      </c>
      <c r="AA232" s="8"/>
    </row>
    <row r="233" spans="1:27" x14ac:dyDescent="0.3">
      <c r="A233">
        <f>IFERROR(IF(Ondergrondscenarios[[#This Row],[Scenarionaam '[-']]]="","",A232+1),1)</f>
        <v>232</v>
      </c>
      <c r="B233">
        <f>A235/6</f>
        <v>39</v>
      </c>
      <c r="C233" t="str">
        <f>VLOOKUP(Ondergrondscenarios[[#This Row],[VakID '[-']]],DataDijkvakken!A:I,2,FALSE)</f>
        <v>12a</v>
      </c>
      <c r="D233" s="8" t="str">
        <f>GenererenScenarios!$B$6</f>
        <v>P_S4</v>
      </c>
      <c r="E233" s="8" t="str">
        <f>GenererenScenarios!$C$6</f>
        <v>-</v>
      </c>
      <c r="F233" s="26">
        <v>0</v>
      </c>
      <c r="G233" s="29">
        <f>VLOOKUP($C233,DataDijkvakken!$B:$G,2,FALSE)</f>
        <v>0.79371423809523822</v>
      </c>
      <c r="H233" s="7"/>
      <c r="I233" s="7"/>
      <c r="J233" s="29"/>
      <c r="K233" s="29">
        <f t="shared" si="24"/>
        <v>0.79371423809523822</v>
      </c>
      <c r="L233" s="7"/>
      <c r="M233" s="29">
        <f>IF(Ondergrondscenarios[[#This Row],[Scenariotype '[-']]]="Tussenzandlaag",0,VLOOKUP($C233,DataDijkvakken[#All],4,FALSE))</f>
        <v>37.5</v>
      </c>
      <c r="N233" s="29">
        <f t="shared" si="25"/>
        <v>37.5</v>
      </c>
      <c r="O233" s="29">
        <f>VLOOKUP($C233,DataDijkvakken!$B:$G,5,FALSE)</f>
        <v>15</v>
      </c>
      <c r="P233" s="29">
        <f>VLOOKUP($C233,DataDijkvakken!$B:$G,6,FALSE)</f>
        <v>37.5</v>
      </c>
      <c r="Q233" s="29">
        <f t="shared" si="26"/>
        <v>37.5</v>
      </c>
      <c r="R233" s="7">
        <v>1406.25</v>
      </c>
      <c r="S233" s="27"/>
      <c r="T233" s="32">
        <f t="shared" si="27"/>
        <v>0</v>
      </c>
      <c r="U233" s="27"/>
      <c r="V233">
        <f t="shared" si="28"/>
        <v>7.9371423809523822</v>
      </c>
      <c r="W233" s="31">
        <f t="shared" si="29"/>
        <v>105.64850435862444</v>
      </c>
      <c r="X233" s="33"/>
      <c r="Y233" t="str">
        <f>IF(Ondergrondscenarios[[#This Row],[Scenariotype '[-']]]="-","",IF(Ondergrondscenarios[[#This Row],[Scenariotype '[-']]]="Pleistoceen",VLOOKUP(Ondergrondscenarios[[#This Row],[Vaknaam '[-']]],DataDijkvakken[#All],8,FALSE),VLOOKUP(Ondergrondscenarios[[#This Row],[Vaknaam '[-']]],DataDijkvakken[#All],7,FALSE)))</f>
        <v/>
      </c>
      <c r="Z233">
        <f>VLOOKUP($C233,DataDijkvakken[#All],3,FALSE)</f>
        <v>16</v>
      </c>
      <c r="AA233" s="8"/>
    </row>
    <row r="234" spans="1:27" x14ac:dyDescent="0.3">
      <c r="A234">
        <f>IFERROR(IF(Ondergrondscenarios[[#This Row],[Scenarionaam '[-']]]="","",A233+1),1)</f>
        <v>233</v>
      </c>
      <c r="B234">
        <f>A235/6</f>
        <v>39</v>
      </c>
      <c r="C234" t="str">
        <f>VLOOKUP(Ondergrondscenarios[[#This Row],[VakID '[-']]],DataDijkvakken!A:I,2,FALSE)</f>
        <v>12a</v>
      </c>
      <c r="D234" s="8" t="str">
        <f>GenererenScenarios!$B$7</f>
        <v>P_S5</v>
      </c>
      <c r="E234" s="8" t="str">
        <f>GenererenScenarios!$C$7</f>
        <v>-</v>
      </c>
      <c r="F234" s="26">
        <v>0</v>
      </c>
      <c r="G234" s="29">
        <f>VLOOKUP($C234,DataDijkvakken!$B:$G,2,FALSE)</f>
        <v>0.79371423809523822</v>
      </c>
      <c r="H234" s="7"/>
      <c r="I234" s="7"/>
      <c r="J234" s="29"/>
      <c r="K234" s="29">
        <f t="shared" si="24"/>
        <v>0.79371423809523822</v>
      </c>
      <c r="L234" s="7"/>
      <c r="M234" s="29">
        <f>IF(Ondergrondscenarios[[#This Row],[Scenariotype '[-']]]="Tussenzandlaag",0,VLOOKUP($C234,DataDijkvakken[#All],4,FALSE))</f>
        <v>37.5</v>
      </c>
      <c r="N234" s="29">
        <f t="shared" si="25"/>
        <v>37.5</v>
      </c>
      <c r="O234" s="29">
        <f>VLOOKUP($C234,DataDijkvakken!$B:$G,5,FALSE)</f>
        <v>15</v>
      </c>
      <c r="P234" s="29">
        <f>VLOOKUP($C234,DataDijkvakken!$B:$G,6,FALSE)</f>
        <v>37.5</v>
      </c>
      <c r="Q234" s="29">
        <f t="shared" si="26"/>
        <v>37.5</v>
      </c>
      <c r="R234" s="7">
        <v>1406.25</v>
      </c>
      <c r="S234" s="27"/>
      <c r="T234" s="32">
        <f t="shared" si="27"/>
        <v>0</v>
      </c>
      <c r="U234" s="27"/>
      <c r="V234">
        <f t="shared" si="28"/>
        <v>7.9371423809523822</v>
      </c>
      <c r="W234" s="31">
        <f t="shared" si="29"/>
        <v>105.64850435862444</v>
      </c>
      <c r="X234" s="33"/>
      <c r="Y234" t="str">
        <f>IF(Ondergrondscenarios[[#This Row],[Scenariotype '[-']]]="-","",IF(Ondergrondscenarios[[#This Row],[Scenariotype '[-']]]="Pleistoceen",VLOOKUP(Ondergrondscenarios[[#This Row],[Vaknaam '[-']]],DataDijkvakken[#All],8,FALSE),VLOOKUP(Ondergrondscenarios[[#This Row],[Vaknaam '[-']]],DataDijkvakken[#All],7,FALSE)))</f>
        <v/>
      </c>
      <c r="Z234">
        <f>VLOOKUP($C234,DataDijkvakken[#All],3,FALSE)</f>
        <v>16</v>
      </c>
      <c r="AA234" s="8"/>
    </row>
    <row r="235" spans="1:27" x14ac:dyDescent="0.3">
      <c r="A235">
        <f>IFERROR(IF(Ondergrondscenarios[[#This Row],[Scenarionaam '[-']]]="","",A234+1),1)</f>
        <v>234</v>
      </c>
      <c r="B235">
        <f>A235/6</f>
        <v>39</v>
      </c>
      <c r="C235" t="str">
        <f>VLOOKUP(Ondergrondscenarios[[#This Row],[VakID '[-']]],DataDijkvakken!A:I,2,FALSE)</f>
        <v>12a</v>
      </c>
      <c r="D235" s="8" t="str">
        <f>GenererenScenarios!$B$8</f>
        <v>P_S6</v>
      </c>
      <c r="E235" s="8" t="str">
        <f>GenererenScenarios!$C$8</f>
        <v>-</v>
      </c>
      <c r="F235" s="26">
        <v>0</v>
      </c>
      <c r="G235" s="29">
        <f>VLOOKUP($C235,DataDijkvakken!$B:$G,2,FALSE)</f>
        <v>0.79371423809523822</v>
      </c>
      <c r="H235" s="7"/>
      <c r="I235" s="7"/>
      <c r="J235" s="29"/>
      <c r="K235" s="29">
        <f t="shared" si="24"/>
        <v>0.79371423809523822</v>
      </c>
      <c r="L235" s="7"/>
      <c r="M235" s="29">
        <f>IF(Ondergrondscenarios[[#This Row],[Scenariotype '[-']]]="Tussenzandlaag",0,VLOOKUP($C235,DataDijkvakken[#All],4,FALSE))</f>
        <v>37.5</v>
      </c>
      <c r="N235" s="29">
        <f t="shared" si="25"/>
        <v>37.5</v>
      </c>
      <c r="O235" s="29">
        <f>VLOOKUP($C235,DataDijkvakken!$B:$G,5,FALSE)</f>
        <v>15</v>
      </c>
      <c r="P235" s="29">
        <f>VLOOKUP($C235,DataDijkvakken!$B:$G,6,FALSE)</f>
        <v>37.5</v>
      </c>
      <c r="Q235" s="29">
        <f t="shared" si="26"/>
        <v>37.5</v>
      </c>
      <c r="R235" s="7">
        <v>1406.25</v>
      </c>
      <c r="S235" s="27"/>
      <c r="T235" s="32">
        <f t="shared" si="27"/>
        <v>0</v>
      </c>
      <c r="U235" s="27"/>
      <c r="V235">
        <f t="shared" si="28"/>
        <v>7.9371423809523822</v>
      </c>
      <c r="W235" s="31">
        <f t="shared" si="29"/>
        <v>105.64850435862444</v>
      </c>
      <c r="X235" s="33"/>
      <c r="Y235" t="str">
        <f>IF(Ondergrondscenarios[[#This Row],[Scenariotype '[-']]]="-","",IF(Ondergrondscenarios[[#This Row],[Scenariotype '[-']]]="Pleistoceen",VLOOKUP(Ondergrondscenarios[[#This Row],[Vaknaam '[-']]],DataDijkvakken[#All],8,FALSE),VLOOKUP(Ondergrondscenarios[[#This Row],[Vaknaam '[-']]],DataDijkvakken[#All],7,FALSE)))</f>
        <v/>
      </c>
      <c r="Z235">
        <f>VLOOKUP($C235,DataDijkvakken[#All],3,FALSE)</f>
        <v>16</v>
      </c>
      <c r="AA235" s="8"/>
    </row>
    <row r="236" spans="1:27" x14ac:dyDescent="0.3">
      <c r="A236">
        <f>IFERROR(IF(Ondergrondscenarios[[#This Row],[Scenarionaam '[-']]]="","",A235+1),1)</f>
        <v>235</v>
      </c>
      <c r="B236">
        <f>A241/6</f>
        <v>40</v>
      </c>
      <c r="C236" t="str">
        <f>VLOOKUP(Ondergrondscenarios[[#This Row],[VakID '[-']]],DataDijkvakken!A:I,2,FALSE)</f>
        <v>12b</v>
      </c>
      <c r="D236" s="8" t="str">
        <f>GenererenScenarios!$B$3</f>
        <v>P_S1_PL</v>
      </c>
      <c r="E236" s="8" t="str">
        <f>GenererenScenarios!$C$3</f>
        <v>Pleistoceen</v>
      </c>
      <c r="F236" s="26">
        <v>1</v>
      </c>
      <c r="G236" s="29">
        <f>VLOOKUP($C236,DataDijkvakken!$B:$G,2,FALSE)</f>
        <v>-2.2180384615384605E-2</v>
      </c>
      <c r="H236" s="7"/>
      <c r="I236" s="7"/>
      <c r="J236" s="29">
        <v>-8</v>
      </c>
      <c r="K236" s="29">
        <f t="shared" si="24"/>
        <v>7.9778196153846155</v>
      </c>
      <c r="L236" s="7">
        <v>0</v>
      </c>
      <c r="M236" s="29">
        <f>IF(Ondergrondscenarios[[#This Row],[Scenariotype '[-']]]="Tussenzandlaag",0,VLOOKUP($C236,DataDijkvakken[#All],4,FALSE))</f>
        <v>37.5</v>
      </c>
      <c r="N236" s="29">
        <f t="shared" si="25"/>
        <v>37.5</v>
      </c>
      <c r="O236" s="29">
        <f>VLOOKUP($C236,DataDijkvakken!$B:$G,5,FALSE)</f>
        <v>15</v>
      </c>
      <c r="P236" s="29">
        <f>VLOOKUP($C236,DataDijkvakken!$B:$G,6,FALSE)</f>
        <v>37.5</v>
      </c>
      <c r="Q236" s="29">
        <f t="shared" si="26"/>
        <v>37.5</v>
      </c>
      <c r="R236" s="7">
        <v>1406.25</v>
      </c>
      <c r="S236" s="27"/>
      <c r="T236" s="32">
        <f t="shared" si="27"/>
        <v>0</v>
      </c>
      <c r="U236" s="27"/>
      <c r="V236">
        <f t="shared" si="28"/>
        <v>662.78196153846159</v>
      </c>
      <c r="W236" s="31">
        <f t="shared" si="29"/>
        <v>965.42070280964128</v>
      </c>
      <c r="X236" s="33"/>
      <c r="Y236">
        <f>IF(Ondergrondscenarios[[#This Row],[Scenariotype '[-']]]="-","",IF(Ondergrondscenarios[[#This Row],[Scenariotype '[-']]]="Pleistoceen",VLOOKUP(Ondergrondscenarios[[#This Row],[Vaknaam '[-']]],DataDijkvakken[#All],8,FALSE),VLOOKUP(Ondergrondscenarios[[#This Row],[Vaknaam '[-']]],DataDijkvakken[#All],7,FALSE)))</f>
        <v>3.5000000000000005E-4</v>
      </c>
      <c r="Z236">
        <f>VLOOKUP($C236,DataDijkvakken[#All],3,FALSE)</f>
        <v>16</v>
      </c>
      <c r="AA236" s="8"/>
    </row>
    <row r="237" spans="1:27" x14ac:dyDescent="0.3">
      <c r="A237">
        <f>IFERROR(IF(Ondergrondscenarios[[#This Row],[Scenarionaam '[-']]]="","",A236+1),1)</f>
        <v>236</v>
      </c>
      <c r="B237">
        <f>A241/6</f>
        <v>40</v>
      </c>
      <c r="C237" t="str">
        <f>VLOOKUP(Ondergrondscenarios[[#This Row],[VakID '[-']]],DataDijkvakken!A:I,2,FALSE)</f>
        <v>12b</v>
      </c>
      <c r="D237" s="8" t="str">
        <f>GenererenScenarios!$B$4</f>
        <v>P_S2_HL_F</v>
      </c>
      <c r="E237" s="8" t="str">
        <f>GenererenScenarios!$C$4</f>
        <v>Holoceen</v>
      </c>
      <c r="F237" s="26">
        <v>0</v>
      </c>
      <c r="G237" s="29">
        <f>VLOOKUP($C237,DataDijkvakken!$B:$G,2,FALSE)</f>
        <v>-2.2180384615384605E-2</v>
      </c>
      <c r="H237" s="7"/>
      <c r="I237" s="7"/>
      <c r="J237" s="29"/>
      <c r="K237" s="29">
        <f t="shared" si="24"/>
        <v>0</v>
      </c>
      <c r="L237" s="7"/>
      <c r="M237" s="29">
        <f>IF(Ondergrondscenarios[[#This Row],[Scenariotype '[-']]]="Tussenzandlaag",0,VLOOKUP($C237,DataDijkvakken[#All],4,FALSE))</f>
        <v>37.5</v>
      </c>
      <c r="N237" s="29">
        <f t="shared" si="25"/>
        <v>37.5</v>
      </c>
      <c r="O237" s="29">
        <f>VLOOKUP($C237,DataDijkvakken!$B:$G,5,FALSE)</f>
        <v>15</v>
      </c>
      <c r="P237" s="29">
        <f>VLOOKUP($C237,DataDijkvakken!$B:$G,6,FALSE)</f>
        <v>37.5</v>
      </c>
      <c r="Q237" s="29">
        <f t="shared" si="26"/>
        <v>37.5</v>
      </c>
      <c r="R237" s="7">
        <v>1406.25</v>
      </c>
      <c r="S237" s="27"/>
      <c r="T237" s="32">
        <f t="shared" si="27"/>
        <v>0</v>
      </c>
      <c r="U237" s="27"/>
      <c r="V237">
        <f t="shared" si="28"/>
        <v>0</v>
      </c>
      <c r="W237" s="31">
        <f t="shared" si="29"/>
        <v>0</v>
      </c>
      <c r="X237" s="33"/>
      <c r="Y237">
        <f>IF(Ondergrondscenarios[[#This Row],[Scenariotype '[-']]]="-","",IF(Ondergrondscenarios[[#This Row],[Scenariotype '[-']]]="Pleistoceen",VLOOKUP(Ondergrondscenarios[[#This Row],[Vaknaam '[-']]],DataDijkvakken[#All],8,FALSE),VLOOKUP(Ondergrondscenarios[[#This Row],[Vaknaam '[-']]],DataDijkvakken[#All],7,FALSE)))</f>
        <v>2.5999999999999998E-4</v>
      </c>
      <c r="Z237">
        <f>VLOOKUP($C237,DataDijkvakken[#All],3,FALSE)</f>
        <v>16</v>
      </c>
      <c r="AA237" s="8"/>
    </row>
    <row r="238" spans="1:27" x14ac:dyDescent="0.3">
      <c r="A238">
        <f>IFERROR(IF(Ondergrondscenarios[[#This Row],[Scenarionaam '[-']]]="","",A237+1),1)</f>
        <v>237</v>
      </c>
      <c r="B238">
        <f>A241/6</f>
        <v>40</v>
      </c>
      <c r="C238" t="str">
        <f>VLOOKUP(Ondergrondscenarios[[#This Row],[VakID '[-']]],DataDijkvakken!A:I,2,FALSE)</f>
        <v>12b</v>
      </c>
      <c r="D238" s="8" t="str">
        <f>GenererenScenarios!$B$5</f>
        <v>P_S3_HL_TZ</v>
      </c>
      <c r="E238" s="8" t="str">
        <f>GenererenScenarios!$C$5</f>
        <v>Tussenzandlaag</v>
      </c>
      <c r="F238" s="26">
        <v>0</v>
      </c>
      <c r="G238" s="29">
        <f>VLOOKUP($C238,DataDijkvakken!$B:$G,2,FALSE)</f>
        <v>-2.2180384615384605E-2</v>
      </c>
      <c r="H238" s="7"/>
      <c r="I238" s="7"/>
      <c r="J238" s="29"/>
      <c r="K238" s="29">
        <f t="shared" si="24"/>
        <v>0</v>
      </c>
      <c r="L238" s="7"/>
      <c r="M238" s="29">
        <f>IF(Ondergrondscenarios[[#This Row],[Scenariotype '[-']]]="Tussenzandlaag",0,VLOOKUP($C238,DataDijkvakken[#All],4,FALSE))</f>
        <v>0</v>
      </c>
      <c r="N238" s="29">
        <f t="shared" si="25"/>
        <v>0.1</v>
      </c>
      <c r="O238" s="29">
        <f>VLOOKUP($C238,DataDijkvakken!$B:$G,5,FALSE)</f>
        <v>15</v>
      </c>
      <c r="P238" s="29">
        <f>VLOOKUP($C238,DataDijkvakken!$B:$G,6,FALSE)</f>
        <v>37.5</v>
      </c>
      <c r="Q238" s="29">
        <f t="shared" si="26"/>
        <v>0.1</v>
      </c>
      <c r="R238" s="7">
        <v>1.0000000000000002E-2</v>
      </c>
      <c r="S238" s="27"/>
      <c r="T238" s="32">
        <f t="shared" si="27"/>
        <v>0</v>
      </c>
      <c r="U238" s="27"/>
      <c r="V238">
        <f t="shared" si="28"/>
        <v>0</v>
      </c>
      <c r="W238" s="31">
        <f t="shared" si="29"/>
        <v>0</v>
      </c>
      <c r="X238" s="33"/>
      <c r="Y238">
        <f>IF(Ondergrondscenarios[[#This Row],[Scenariotype '[-']]]="-","",IF(Ondergrondscenarios[[#This Row],[Scenariotype '[-']]]="Pleistoceen",VLOOKUP(Ondergrondscenarios[[#This Row],[Vaknaam '[-']]],DataDijkvakken[#All],8,FALSE),VLOOKUP(Ondergrondscenarios[[#This Row],[Vaknaam '[-']]],DataDijkvakken[#All],7,FALSE)))</f>
        <v>2.5999999999999998E-4</v>
      </c>
      <c r="Z238">
        <f>VLOOKUP($C238,DataDijkvakken[#All],3,FALSE)</f>
        <v>16</v>
      </c>
      <c r="AA238" s="8"/>
    </row>
    <row r="239" spans="1:27" x14ac:dyDescent="0.3">
      <c r="A239">
        <f>IFERROR(IF(Ondergrondscenarios[[#This Row],[Scenarionaam '[-']]]="","",A238+1),1)</f>
        <v>238</v>
      </c>
      <c r="B239">
        <f>A241/6</f>
        <v>40</v>
      </c>
      <c r="C239" t="str">
        <f>VLOOKUP(Ondergrondscenarios[[#This Row],[VakID '[-']]],DataDijkvakken!A:I,2,FALSE)</f>
        <v>12b</v>
      </c>
      <c r="D239" s="8" t="str">
        <f>GenererenScenarios!$B$6</f>
        <v>P_S4</v>
      </c>
      <c r="E239" s="8" t="str">
        <f>GenererenScenarios!$C$6</f>
        <v>-</v>
      </c>
      <c r="F239" s="26">
        <v>0</v>
      </c>
      <c r="G239" s="29">
        <f>VLOOKUP($C239,DataDijkvakken!$B:$G,2,FALSE)</f>
        <v>-2.2180384615384605E-2</v>
      </c>
      <c r="H239" s="7"/>
      <c r="I239" s="7"/>
      <c r="J239" s="29"/>
      <c r="K239" s="29">
        <f t="shared" si="24"/>
        <v>0</v>
      </c>
      <c r="L239" s="7"/>
      <c r="M239" s="29">
        <f>IF(Ondergrondscenarios[[#This Row],[Scenariotype '[-']]]="Tussenzandlaag",0,VLOOKUP($C239,DataDijkvakken[#All],4,FALSE))</f>
        <v>37.5</v>
      </c>
      <c r="N239" s="29">
        <f t="shared" si="25"/>
        <v>37.5</v>
      </c>
      <c r="O239" s="29">
        <f>VLOOKUP($C239,DataDijkvakken!$B:$G,5,FALSE)</f>
        <v>15</v>
      </c>
      <c r="P239" s="29">
        <f>VLOOKUP($C239,DataDijkvakken!$B:$G,6,FALSE)</f>
        <v>37.5</v>
      </c>
      <c r="Q239" s="29">
        <f t="shared" si="26"/>
        <v>37.5</v>
      </c>
      <c r="R239" s="7">
        <v>1406.25</v>
      </c>
      <c r="S239" s="27"/>
      <c r="T239" s="32">
        <f t="shared" si="27"/>
        <v>0</v>
      </c>
      <c r="U239" s="27"/>
      <c r="V239">
        <f t="shared" si="28"/>
        <v>0</v>
      </c>
      <c r="W239" s="31">
        <f t="shared" si="29"/>
        <v>0</v>
      </c>
      <c r="X239" s="33"/>
      <c r="Y239" t="str">
        <f>IF(Ondergrondscenarios[[#This Row],[Scenariotype '[-']]]="-","",IF(Ondergrondscenarios[[#This Row],[Scenariotype '[-']]]="Pleistoceen",VLOOKUP(Ondergrondscenarios[[#This Row],[Vaknaam '[-']]],DataDijkvakken[#All],8,FALSE),VLOOKUP(Ondergrondscenarios[[#This Row],[Vaknaam '[-']]],DataDijkvakken[#All],7,FALSE)))</f>
        <v/>
      </c>
      <c r="Z239">
        <f>VLOOKUP($C239,DataDijkvakken[#All],3,FALSE)</f>
        <v>16</v>
      </c>
      <c r="AA239" s="8"/>
    </row>
    <row r="240" spans="1:27" x14ac:dyDescent="0.3">
      <c r="A240">
        <f>IFERROR(IF(Ondergrondscenarios[[#This Row],[Scenarionaam '[-']]]="","",A239+1),1)</f>
        <v>239</v>
      </c>
      <c r="B240">
        <f>A241/6</f>
        <v>40</v>
      </c>
      <c r="C240" t="str">
        <f>VLOOKUP(Ondergrondscenarios[[#This Row],[VakID '[-']]],DataDijkvakken!A:I,2,FALSE)</f>
        <v>12b</v>
      </c>
      <c r="D240" s="8" t="str">
        <f>GenererenScenarios!$B$7</f>
        <v>P_S5</v>
      </c>
      <c r="E240" s="8" t="str">
        <f>GenererenScenarios!$C$7</f>
        <v>-</v>
      </c>
      <c r="F240" s="26">
        <v>0</v>
      </c>
      <c r="G240" s="29">
        <f>VLOOKUP($C240,DataDijkvakken!$B:$G,2,FALSE)</f>
        <v>-2.2180384615384605E-2</v>
      </c>
      <c r="H240" s="7"/>
      <c r="I240" s="7"/>
      <c r="J240" s="29"/>
      <c r="K240" s="29">
        <f t="shared" si="24"/>
        <v>0</v>
      </c>
      <c r="L240" s="7"/>
      <c r="M240" s="29">
        <f>IF(Ondergrondscenarios[[#This Row],[Scenariotype '[-']]]="Tussenzandlaag",0,VLOOKUP($C240,DataDijkvakken[#All],4,FALSE))</f>
        <v>37.5</v>
      </c>
      <c r="N240" s="29">
        <f t="shared" si="25"/>
        <v>37.5</v>
      </c>
      <c r="O240" s="29">
        <f>VLOOKUP($C240,DataDijkvakken!$B:$G,5,FALSE)</f>
        <v>15</v>
      </c>
      <c r="P240" s="29">
        <f>VLOOKUP($C240,DataDijkvakken!$B:$G,6,FALSE)</f>
        <v>37.5</v>
      </c>
      <c r="Q240" s="29">
        <f t="shared" si="26"/>
        <v>37.5</v>
      </c>
      <c r="R240" s="7">
        <v>1406.25</v>
      </c>
      <c r="S240" s="27"/>
      <c r="T240" s="32">
        <f t="shared" si="27"/>
        <v>0</v>
      </c>
      <c r="U240" s="27"/>
      <c r="V240">
        <f t="shared" si="28"/>
        <v>0</v>
      </c>
      <c r="W240" s="31">
        <f t="shared" si="29"/>
        <v>0</v>
      </c>
      <c r="X240" s="33"/>
      <c r="Y240" t="str">
        <f>IF(Ondergrondscenarios[[#This Row],[Scenariotype '[-']]]="-","",IF(Ondergrondscenarios[[#This Row],[Scenariotype '[-']]]="Pleistoceen",VLOOKUP(Ondergrondscenarios[[#This Row],[Vaknaam '[-']]],DataDijkvakken[#All],8,FALSE),VLOOKUP(Ondergrondscenarios[[#This Row],[Vaknaam '[-']]],DataDijkvakken[#All],7,FALSE)))</f>
        <v/>
      </c>
      <c r="Z240">
        <f>VLOOKUP($C240,DataDijkvakken[#All],3,FALSE)</f>
        <v>16</v>
      </c>
      <c r="AA240" s="8"/>
    </row>
    <row r="241" spans="1:27" x14ac:dyDescent="0.3">
      <c r="A241">
        <f>IFERROR(IF(Ondergrondscenarios[[#This Row],[Scenarionaam '[-']]]="","",A240+1),1)</f>
        <v>240</v>
      </c>
      <c r="B241">
        <f>A241/6</f>
        <v>40</v>
      </c>
      <c r="C241" t="str">
        <f>VLOOKUP(Ondergrondscenarios[[#This Row],[VakID '[-']]],DataDijkvakken!A:I,2,FALSE)</f>
        <v>12b</v>
      </c>
      <c r="D241" s="8" t="str">
        <f>GenererenScenarios!$B$8</f>
        <v>P_S6</v>
      </c>
      <c r="E241" s="8" t="str">
        <f>GenererenScenarios!$C$8</f>
        <v>-</v>
      </c>
      <c r="F241" s="26">
        <v>0</v>
      </c>
      <c r="G241" s="29">
        <f>VLOOKUP($C241,DataDijkvakken!$B:$G,2,FALSE)</f>
        <v>-2.2180384615384605E-2</v>
      </c>
      <c r="H241" s="7"/>
      <c r="I241" s="7"/>
      <c r="J241" s="29"/>
      <c r="K241" s="29">
        <f t="shared" si="24"/>
        <v>0</v>
      </c>
      <c r="L241" s="7"/>
      <c r="M241" s="29">
        <f>IF(Ondergrondscenarios[[#This Row],[Scenariotype '[-']]]="Tussenzandlaag",0,VLOOKUP($C241,DataDijkvakken[#All],4,FALSE))</f>
        <v>37.5</v>
      </c>
      <c r="N241" s="29">
        <f t="shared" si="25"/>
        <v>37.5</v>
      </c>
      <c r="O241" s="29">
        <f>VLOOKUP($C241,DataDijkvakken!$B:$G,5,FALSE)</f>
        <v>15</v>
      </c>
      <c r="P241" s="29">
        <f>VLOOKUP($C241,DataDijkvakken!$B:$G,6,FALSE)</f>
        <v>37.5</v>
      </c>
      <c r="Q241" s="29">
        <f t="shared" si="26"/>
        <v>37.5</v>
      </c>
      <c r="R241" s="7">
        <v>1406.25</v>
      </c>
      <c r="S241" s="27"/>
      <c r="T241" s="32">
        <f t="shared" si="27"/>
        <v>0</v>
      </c>
      <c r="U241" s="27"/>
      <c r="V241">
        <f t="shared" si="28"/>
        <v>0</v>
      </c>
      <c r="W241" s="31">
        <f t="shared" si="29"/>
        <v>0</v>
      </c>
      <c r="X241" s="33"/>
      <c r="Y241" t="str">
        <f>IF(Ondergrondscenarios[[#This Row],[Scenariotype '[-']]]="-","",IF(Ondergrondscenarios[[#This Row],[Scenariotype '[-']]]="Pleistoceen",VLOOKUP(Ondergrondscenarios[[#This Row],[Vaknaam '[-']]],DataDijkvakken[#All],8,FALSE),VLOOKUP(Ondergrondscenarios[[#This Row],[Vaknaam '[-']]],DataDijkvakken[#All],7,FALSE)))</f>
        <v/>
      </c>
      <c r="Z241">
        <f>VLOOKUP($C241,DataDijkvakken[#All],3,FALSE)</f>
        <v>16</v>
      </c>
      <c r="AA241" s="8"/>
    </row>
    <row r="242" spans="1:27" x14ac:dyDescent="0.3">
      <c r="A242">
        <f>IFERROR(IF(Ondergrondscenarios[[#This Row],[Scenarionaam '[-']]]="","",A241+1),1)</f>
        <v>241</v>
      </c>
      <c r="B242">
        <f>A247/6</f>
        <v>41</v>
      </c>
      <c r="C242" t="str">
        <f>VLOOKUP(Ondergrondscenarios[[#This Row],[VakID '[-']]],DataDijkvakken!A:I,2,FALSE)</f>
        <v>12c</v>
      </c>
      <c r="D242" s="8" t="str">
        <f>GenererenScenarios!$B$3</f>
        <v>P_S1_PL</v>
      </c>
      <c r="E242" s="8" t="str">
        <f>GenererenScenarios!$C$3</f>
        <v>Pleistoceen</v>
      </c>
      <c r="F242" s="26">
        <v>1</v>
      </c>
      <c r="G242" s="29">
        <f>VLOOKUP($C242,DataDijkvakken!$B:$G,2,FALSE)</f>
        <v>0.59316899999999995</v>
      </c>
      <c r="H242" s="7"/>
      <c r="I242" s="7"/>
      <c r="J242" s="29">
        <v>-8</v>
      </c>
      <c r="K242" s="29">
        <f t="shared" si="24"/>
        <v>8.5931689999999996</v>
      </c>
      <c r="L242" s="7">
        <v>0</v>
      </c>
      <c r="M242" s="29">
        <f>IF(Ondergrondscenarios[[#This Row],[Scenariotype '[-']]]="Tussenzandlaag",0,VLOOKUP($C242,DataDijkvakken[#All],4,FALSE))</f>
        <v>37.5</v>
      </c>
      <c r="N242" s="29">
        <f t="shared" si="25"/>
        <v>37.5</v>
      </c>
      <c r="O242" s="29">
        <f>VLOOKUP($C242,DataDijkvakken!$B:$G,5,FALSE)</f>
        <v>15</v>
      </c>
      <c r="P242" s="29">
        <f>VLOOKUP($C242,DataDijkvakken!$B:$G,6,FALSE)</f>
        <v>37.5</v>
      </c>
      <c r="Q242" s="29">
        <f t="shared" si="26"/>
        <v>37.5</v>
      </c>
      <c r="R242" s="7">
        <v>1406.25</v>
      </c>
      <c r="S242" s="27"/>
      <c r="T242" s="32">
        <f t="shared" si="27"/>
        <v>0</v>
      </c>
      <c r="U242" s="27"/>
      <c r="V242">
        <f t="shared" si="28"/>
        <v>724.31689999999992</v>
      </c>
      <c r="W242" s="31">
        <f t="shared" si="29"/>
        <v>1009.2426074165716</v>
      </c>
      <c r="X242" s="33"/>
      <c r="Y242">
        <f>IF(Ondergrondscenarios[[#This Row],[Scenariotype '[-']]]="-","",IF(Ondergrondscenarios[[#This Row],[Scenariotype '[-']]]="Pleistoceen",VLOOKUP(Ondergrondscenarios[[#This Row],[Vaknaam '[-']]],DataDijkvakken[#All],8,FALSE),VLOOKUP(Ondergrondscenarios[[#This Row],[Vaknaam '[-']]],DataDijkvakken[#All],7,FALSE)))</f>
        <v>3.5000000000000005E-4</v>
      </c>
      <c r="Z242">
        <f>VLOOKUP($C242,DataDijkvakken[#All],3,FALSE)</f>
        <v>16</v>
      </c>
      <c r="AA242" s="8"/>
    </row>
    <row r="243" spans="1:27" x14ac:dyDescent="0.3">
      <c r="A243">
        <f>IFERROR(IF(Ondergrondscenarios[[#This Row],[Scenarionaam '[-']]]="","",A242+1),1)</f>
        <v>242</v>
      </c>
      <c r="B243">
        <f>A247/6</f>
        <v>41</v>
      </c>
      <c r="C243" t="str">
        <f>VLOOKUP(Ondergrondscenarios[[#This Row],[VakID '[-']]],DataDijkvakken!A:I,2,FALSE)</f>
        <v>12c</v>
      </c>
      <c r="D243" s="8" t="str">
        <f>GenererenScenarios!$B$4</f>
        <v>P_S2_HL_F</v>
      </c>
      <c r="E243" s="8" t="str">
        <f>GenererenScenarios!$C$4</f>
        <v>Holoceen</v>
      </c>
      <c r="F243" s="26">
        <v>0</v>
      </c>
      <c r="G243" s="29">
        <f>VLOOKUP($C243,DataDijkvakken!$B:$G,2,FALSE)</f>
        <v>0.59316899999999995</v>
      </c>
      <c r="H243" s="7"/>
      <c r="I243" s="7"/>
      <c r="J243" s="29"/>
      <c r="K243" s="29">
        <f t="shared" si="24"/>
        <v>0.59316899999999995</v>
      </c>
      <c r="L243" s="7"/>
      <c r="M243" s="29">
        <f>IF(Ondergrondscenarios[[#This Row],[Scenariotype '[-']]]="Tussenzandlaag",0,VLOOKUP($C243,DataDijkvakken[#All],4,FALSE))</f>
        <v>37.5</v>
      </c>
      <c r="N243" s="29">
        <f t="shared" si="25"/>
        <v>37.5</v>
      </c>
      <c r="O243" s="29">
        <f>VLOOKUP($C243,DataDijkvakken!$B:$G,5,FALSE)</f>
        <v>15</v>
      </c>
      <c r="P243" s="29">
        <f>VLOOKUP($C243,DataDijkvakken!$B:$G,6,FALSE)</f>
        <v>37.5</v>
      </c>
      <c r="Q243" s="29">
        <f t="shared" si="26"/>
        <v>37.5</v>
      </c>
      <c r="R243" s="7">
        <v>1406.25</v>
      </c>
      <c r="S243" s="27"/>
      <c r="T243" s="32">
        <f t="shared" si="27"/>
        <v>0</v>
      </c>
      <c r="U243" s="27"/>
      <c r="V243">
        <f t="shared" si="28"/>
        <v>5.9316899999999988</v>
      </c>
      <c r="W243" s="31">
        <f t="shared" si="29"/>
        <v>91.33147903379205</v>
      </c>
      <c r="X243" s="33"/>
      <c r="Y243">
        <f>IF(Ondergrondscenarios[[#This Row],[Scenariotype '[-']]]="-","",IF(Ondergrondscenarios[[#This Row],[Scenariotype '[-']]]="Pleistoceen",VLOOKUP(Ondergrondscenarios[[#This Row],[Vaknaam '[-']]],DataDijkvakken[#All],8,FALSE),VLOOKUP(Ondergrondscenarios[[#This Row],[Vaknaam '[-']]],DataDijkvakken[#All],7,FALSE)))</f>
        <v>2.5999999999999998E-4</v>
      </c>
      <c r="Z243">
        <f>VLOOKUP($C243,DataDijkvakken[#All],3,FALSE)</f>
        <v>16</v>
      </c>
      <c r="AA243" s="8"/>
    </row>
    <row r="244" spans="1:27" x14ac:dyDescent="0.3">
      <c r="A244">
        <f>IFERROR(IF(Ondergrondscenarios[[#This Row],[Scenarionaam '[-']]]="","",A243+1),1)</f>
        <v>243</v>
      </c>
      <c r="B244">
        <f>A247/6</f>
        <v>41</v>
      </c>
      <c r="C244" t="str">
        <f>VLOOKUP(Ondergrondscenarios[[#This Row],[VakID '[-']]],DataDijkvakken!A:I,2,FALSE)</f>
        <v>12c</v>
      </c>
      <c r="D244" s="8" t="str">
        <f>GenererenScenarios!$B$5</f>
        <v>P_S3_HL_TZ</v>
      </c>
      <c r="E244" s="8" t="str">
        <f>GenererenScenarios!$C$5</f>
        <v>Tussenzandlaag</v>
      </c>
      <c r="F244" s="26">
        <v>0</v>
      </c>
      <c r="G244" s="29">
        <f>VLOOKUP($C244,DataDijkvakken!$B:$G,2,FALSE)</f>
        <v>0.59316899999999995</v>
      </c>
      <c r="H244" s="7"/>
      <c r="I244" s="7"/>
      <c r="J244" s="29"/>
      <c r="K244" s="29">
        <f t="shared" si="24"/>
        <v>0.59316899999999995</v>
      </c>
      <c r="L244" s="7"/>
      <c r="M244" s="29">
        <f>IF(Ondergrondscenarios[[#This Row],[Scenariotype '[-']]]="Tussenzandlaag",0,VLOOKUP($C244,DataDijkvakken[#All],4,FALSE))</f>
        <v>0</v>
      </c>
      <c r="N244" s="29">
        <f t="shared" si="25"/>
        <v>0.1</v>
      </c>
      <c r="O244" s="29">
        <f>VLOOKUP($C244,DataDijkvakken!$B:$G,5,FALSE)</f>
        <v>15</v>
      </c>
      <c r="P244" s="29">
        <f>VLOOKUP($C244,DataDijkvakken!$B:$G,6,FALSE)</f>
        <v>37.5</v>
      </c>
      <c r="Q244" s="29">
        <f t="shared" si="26"/>
        <v>0.1</v>
      </c>
      <c r="R244" s="7">
        <v>1.0000000000000002E-2</v>
      </c>
      <c r="S244" s="27"/>
      <c r="T244" s="32">
        <f t="shared" si="27"/>
        <v>0</v>
      </c>
      <c r="U244" s="27"/>
      <c r="V244">
        <f t="shared" si="28"/>
        <v>5.9316899999999988</v>
      </c>
      <c r="W244" s="31">
        <f t="shared" si="29"/>
        <v>0.24355061075677883</v>
      </c>
      <c r="X244" s="33"/>
      <c r="Y244">
        <f>IF(Ondergrondscenarios[[#This Row],[Scenariotype '[-']]]="-","",IF(Ondergrondscenarios[[#This Row],[Scenariotype '[-']]]="Pleistoceen",VLOOKUP(Ondergrondscenarios[[#This Row],[Vaknaam '[-']]],DataDijkvakken[#All],8,FALSE),VLOOKUP(Ondergrondscenarios[[#This Row],[Vaknaam '[-']]],DataDijkvakken[#All],7,FALSE)))</f>
        <v>2.5999999999999998E-4</v>
      </c>
      <c r="Z244">
        <f>VLOOKUP($C244,DataDijkvakken[#All],3,FALSE)</f>
        <v>16</v>
      </c>
      <c r="AA244" s="8"/>
    </row>
    <row r="245" spans="1:27" x14ac:dyDescent="0.3">
      <c r="A245">
        <f>IFERROR(IF(Ondergrondscenarios[[#This Row],[Scenarionaam '[-']]]="","",A244+1),1)</f>
        <v>244</v>
      </c>
      <c r="B245">
        <f>A247/6</f>
        <v>41</v>
      </c>
      <c r="C245" t="str">
        <f>VLOOKUP(Ondergrondscenarios[[#This Row],[VakID '[-']]],DataDijkvakken!A:I,2,FALSE)</f>
        <v>12c</v>
      </c>
      <c r="D245" s="8" t="str">
        <f>GenererenScenarios!$B$6</f>
        <v>P_S4</v>
      </c>
      <c r="E245" s="8" t="str">
        <f>GenererenScenarios!$C$6</f>
        <v>-</v>
      </c>
      <c r="F245" s="26">
        <v>0</v>
      </c>
      <c r="G245" s="29">
        <f>VLOOKUP($C245,DataDijkvakken!$B:$G,2,FALSE)</f>
        <v>0.59316899999999995</v>
      </c>
      <c r="H245" s="7"/>
      <c r="I245" s="7"/>
      <c r="J245" s="29"/>
      <c r="K245" s="29">
        <f t="shared" si="24"/>
        <v>0.59316899999999995</v>
      </c>
      <c r="L245" s="7"/>
      <c r="M245" s="29">
        <f>IF(Ondergrondscenarios[[#This Row],[Scenariotype '[-']]]="Tussenzandlaag",0,VLOOKUP($C245,DataDijkvakken[#All],4,FALSE))</f>
        <v>37.5</v>
      </c>
      <c r="N245" s="29">
        <f t="shared" si="25"/>
        <v>37.5</v>
      </c>
      <c r="O245" s="29">
        <f>VLOOKUP($C245,DataDijkvakken!$B:$G,5,FALSE)</f>
        <v>15</v>
      </c>
      <c r="P245" s="29">
        <f>VLOOKUP($C245,DataDijkvakken!$B:$G,6,FALSE)</f>
        <v>37.5</v>
      </c>
      <c r="Q245" s="29">
        <f t="shared" si="26"/>
        <v>37.5</v>
      </c>
      <c r="R245" s="7">
        <v>1406.25</v>
      </c>
      <c r="S245" s="27"/>
      <c r="T245" s="32">
        <f t="shared" si="27"/>
        <v>0</v>
      </c>
      <c r="U245" s="27"/>
      <c r="V245">
        <f t="shared" si="28"/>
        <v>5.9316899999999988</v>
      </c>
      <c r="W245" s="31">
        <f t="shared" si="29"/>
        <v>91.33147903379205</v>
      </c>
      <c r="X245" s="33"/>
      <c r="Y245" t="str">
        <f>IF(Ondergrondscenarios[[#This Row],[Scenariotype '[-']]]="-","",IF(Ondergrondscenarios[[#This Row],[Scenariotype '[-']]]="Pleistoceen",VLOOKUP(Ondergrondscenarios[[#This Row],[Vaknaam '[-']]],DataDijkvakken[#All],8,FALSE),VLOOKUP(Ondergrondscenarios[[#This Row],[Vaknaam '[-']]],DataDijkvakken[#All],7,FALSE)))</f>
        <v/>
      </c>
      <c r="Z245">
        <f>VLOOKUP($C245,DataDijkvakken[#All],3,FALSE)</f>
        <v>16</v>
      </c>
      <c r="AA245" s="8"/>
    </row>
    <row r="246" spans="1:27" x14ac:dyDescent="0.3">
      <c r="A246">
        <f>IFERROR(IF(Ondergrondscenarios[[#This Row],[Scenarionaam '[-']]]="","",A245+1),1)</f>
        <v>245</v>
      </c>
      <c r="B246">
        <f>A247/6</f>
        <v>41</v>
      </c>
      <c r="C246" t="str">
        <f>VLOOKUP(Ondergrondscenarios[[#This Row],[VakID '[-']]],DataDijkvakken!A:I,2,FALSE)</f>
        <v>12c</v>
      </c>
      <c r="D246" s="8" t="str">
        <f>GenererenScenarios!$B$7</f>
        <v>P_S5</v>
      </c>
      <c r="E246" s="8" t="str">
        <f>GenererenScenarios!$C$7</f>
        <v>-</v>
      </c>
      <c r="F246" s="26">
        <v>0</v>
      </c>
      <c r="G246" s="29">
        <f>VLOOKUP($C246,DataDijkvakken!$B:$G,2,FALSE)</f>
        <v>0.59316899999999995</v>
      </c>
      <c r="H246" s="7"/>
      <c r="I246" s="7"/>
      <c r="J246" s="29"/>
      <c r="K246" s="29">
        <f t="shared" si="24"/>
        <v>0.59316899999999995</v>
      </c>
      <c r="L246" s="7"/>
      <c r="M246" s="29">
        <f>IF(Ondergrondscenarios[[#This Row],[Scenariotype '[-']]]="Tussenzandlaag",0,VLOOKUP($C246,DataDijkvakken[#All],4,FALSE))</f>
        <v>37.5</v>
      </c>
      <c r="N246" s="29">
        <f t="shared" si="25"/>
        <v>37.5</v>
      </c>
      <c r="O246" s="29">
        <f>VLOOKUP($C246,DataDijkvakken!$B:$G,5,FALSE)</f>
        <v>15</v>
      </c>
      <c r="P246" s="29">
        <f>VLOOKUP($C246,DataDijkvakken!$B:$G,6,FALSE)</f>
        <v>37.5</v>
      </c>
      <c r="Q246" s="29">
        <f t="shared" si="26"/>
        <v>37.5</v>
      </c>
      <c r="R246" s="7">
        <v>1406.25</v>
      </c>
      <c r="S246" s="27"/>
      <c r="T246" s="32">
        <f t="shared" si="27"/>
        <v>0</v>
      </c>
      <c r="U246" s="27"/>
      <c r="V246">
        <f t="shared" si="28"/>
        <v>5.9316899999999988</v>
      </c>
      <c r="W246" s="31">
        <f t="shared" si="29"/>
        <v>91.33147903379205</v>
      </c>
      <c r="X246" s="33"/>
      <c r="Y246" t="str">
        <f>IF(Ondergrondscenarios[[#This Row],[Scenariotype '[-']]]="-","",IF(Ondergrondscenarios[[#This Row],[Scenariotype '[-']]]="Pleistoceen",VLOOKUP(Ondergrondscenarios[[#This Row],[Vaknaam '[-']]],DataDijkvakken[#All],8,FALSE),VLOOKUP(Ondergrondscenarios[[#This Row],[Vaknaam '[-']]],DataDijkvakken[#All],7,FALSE)))</f>
        <v/>
      </c>
      <c r="Z246">
        <f>VLOOKUP($C246,DataDijkvakken[#All],3,FALSE)</f>
        <v>16</v>
      </c>
      <c r="AA246" s="8"/>
    </row>
    <row r="247" spans="1:27" x14ac:dyDescent="0.3">
      <c r="A247">
        <f>IFERROR(IF(Ondergrondscenarios[[#This Row],[Scenarionaam '[-']]]="","",A246+1),1)</f>
        <v>246</v>
      </c>
      <c r="B247">
        <f>A247/6</f>
        <v>41</v>
      </c>
      <c r="C247" t="str">
        <f>VLOOKUP(Ondergrondscenarios[[#This Row],[VakID '[-']]],DataDijkvakken!A:I,2,FALSE)</f>
        <v>12c</v>
      </c>
      <c r="D247" s="8" t="str">
        <f>GenererenScenarios!$B$8</f>
        <v>P_S6</v>
      </c>
      <c r="E247" s="8" t="str">
        <f>GenererenScenarios!$C$8</f>
        <v>-</v>
      </c>
      <c r="F247" s="26">
        <v>0</v>
      </c>
      <c r="G247" s="29">
        <f>VLOOKUP($C247,DataDijkvakken!$B:$G,2,FALSE)</f>
        <v>0.59316899999999995</v>
      </c>
      <c r="H247" s="7"/>
      <c r="I247" s="7"/>
      <c r="J247" s="29"/>
      <c r="K247" s="29">
        <f t="shared" si="24"/>
        <v>0.59316899999999995</v>
      </c>
      <c r="L247" s="7"/>
      <c r="M247" s="29">
        <f>IF(Ondergrondscenarios[[#This Row],[Scenariotype '[-']]]="Tussenzandlaag",0,VLOOKUP($C247,DataDijkvakken[#All],4,FALSE))</f>
        <v>37.5</v>
      </c>
      <c r="N247" s="29">
        <f t="shared" si="25"/>
        <v>37.5</v>
      </c>
      <c r="O247" s="29">
        <f>VLOOKUP($C247,DataDijkvakken!$B:$G,5,FALSE)</f>
        <v>15</v>
      </c>
      <c r="P247" s="29">
        <f>VLOOKUP($C247,DataDijkvakken!$B:$G,6,FALSE)</f>
        <v>37.5</v>
      </c>
      <c r="Q247" s="29">
        <f t="shared" si="26"/>
        <v>37.5</v>
      </c>
      <c r="R247" s="7">
        <v>1406.25</v>
      </c>
      <c r="S247" s="27"/>
      <c r="T247" s="32">
        <f t="shared" si="27"/>
        <v>0</v>
      </c>
      <c r="U247" s="27"/>
      <c r="V247">
        <f t="shared" si="28"/>
        <v>5.9316899999999988</v>
      </c>
      <c r="W247" s="31">
        <f t="shared" si="29"/>
        <v>91.33147903379205</v>
      </c>
      <c r="X247" s="33"/>
      <c r="Y247" t="str">
        <f>IF(Ondergrondscenarios[[#This Row],[Scenariotype '[-']]]="-","",IF(Ondergrondscenarios[[#This Row],[Scenariotype '[-']]]="Pleistoceen",VLOOKUP(Ondergrondscenarios[[#This Row],[Vaknaam '[-']]],DataDijkvakken[#All],8,FALSE),VLOOKUP(Ondergrondscenarios[[#This Row],[Vaknaam '[-']]],DataDijkvakken[#All],7,FALSE)))</f>
        <v/>
      </c>
      <c r="Z247">
        <f>VLOOKUP($C247,DataDijkvakken[#All],3,FALSE)</f>
        <v>16</v>
      </c>
      <c r="AA247" s="8"/>
    </row>
    <row r="248" spans="1:27" x14ac:dyDescent="0.3">
      <c r="A248">
        <f>IFERROR(IF(Ondergrondscenarios[[#This Row],[Scenarionaam '[-']]]="","",A247+1),1)</f>
        <v>247</v>
      </c>
      <c r="B248">
        <f>A253/6</f>
        <v>42</v>
      </c>
      <c r="C248" t="str">
        <f>VLOOKUP(Ondergrondscenarios[[#This Row],[VakID '[-']]],DataDijkvakken!A:I,2,FALSE)</f>
        <v>12d</v>
      </c>
      <c r="D248" s="8" t="str">
        <f>GenererenScenarios!$B$3</f>
        <v>P_S1_PL</v>
      </c>
      <c r="E248" s="8" t="str">
        <f>GenererenScenarios!$C$3</f>
        <v>Pleistoceen</v>
      </c>
      <c r="F248" s="26">
        <v>1</v>
      </c>
      <c r="G248" s="29">
        <f>VLOOKUP($C248,DataDijkvakken!$B:$G,2,FALSE)</f>
        <v>8.6832687500000019E-2</v>
      </c>
      <c r="H248" s="7"/>
      <c r="I248" s="7"/>
      <c r="J248" s="29">
        <v>-7.5</v>
      </c>
      <c r="K248" s="29">
        <f t="shared" si="24"/>
        <v>7.5868326875000003</v>
      </c>
      <c r="L248" s="7">
        <v>0</v>
      </c>
      <c r="M248" s="29">
        <f>IF(Ondergrondscenarios[[#This Row],[Scenariotype '[-']]]="Tussenzandlaag",0,VLOOKUP($C248,DataDijkvakken[#All],4,FALSE))</f>
        <v>37.5</v>
      </c>
      <c r="N248" s="29">
        <f t="shared" si="25"/>
        <v>37.5</v>
      </c>
      <c r="O248" s="29">
        <f>VLOOKUP($C248,DataDijkvakken!$B:$G,5,FALSE)</f>
        <v>15</v>
      </c>
      <c r="P248" s="29">
        <f>VLOOKUP($C248,DataDijkvakken!$B:$G,6,FALSE)</f>
        <v>37.5</v>
      </c>
      <c r="Q248" s="29">
        <f t="shared" si="26"/>
        <v>37.5</v>
      </c>
      <c r="R248" s="7">
        <v>1406.25</v>
      </c>
      <c r="S248" s="27"/>
      <c r="T248" s="32">
        <f t="shared" si="27"/>
        <v>0</v>
      </c>
      <c r="U248" s="27"/>
      <c r="V248">
        <f t="shared" si="28"/>
        <v>623.68326875000002</v>
      </c>
      <c r="W248" s="31">
        <f t="shared" si="29"/>
        <v>936.51193087952038</v>
      </c>
      <c r="X248" s="33"/>
      <c r="Y248">
        <f>IF(Ondergrondscenarios[[#This Row],[Scenariotype '[-']]]="-","",IF(Ondergrondscenarios[[#This Row],[Scenariotype '[-']]]="Pleistoceen",VLOOKUP(Ondergrondscenarios[[#This Row],[Vaknaam '[-']]],DataDijkvakken[#All],8,FALSE),VLOOKUP(Ondergrondscenarios[[#This Row],[Vaknaam '[-']]],DataDijkvakken[#All],7,FALSE)))</f>
        <v>3.5000000000000005E-4</v>
      </c>
      <c r="Z248">
        <f>VLOOKUP($C248,DataDijkvakken[#All],3,FALSE)</f>
        <v>16</v>
      </c>
      <c r="AA248" s="8"/>
    </row>
    <row r="249" spans="1:27" x14ac:dyDescent="0.3">
      <c r="A249">
        <f>IFERROR(IF(Ondergrondscenarios[[#This Row],[Scenarionaam '[-']]]="","",A248+1),1)</f>
        <v>248</v>
      </c>
      <c r="B249">
        <f>A253/6</f>
        <v>42</v>
      </c>
      <c r="C249" t="str">
        <f>VLOOKUP(Ondergrondscenarios[[#This Row],[VakID '[-']]],DataDijkvakken!A:I,2,FALSE)</f>
        <v>12d</v>
      </c>
      <c r="D249" s="8" t="str">
        <f>GenererenScenarios!$B$4</f>
        <v>P_S2_HL_F</v>
      </c>
      <c r="E249" s="8" t="str">
        <f>GenererenScenarios!$C$4</f>
        <v>Holoceen</v>
      </c>
      <c r="F249" s="26">
        <v>0</v>
      </c>
      <c r="G249" s="29">
        <f>VLOOKUP($C249,DataDijkvakken!$B:$G,2,FALSE)</f>
        <v>8.6832687500000019E-2</v>
      </c>
      <c r="H249" s="7"/>
      <c r="I249" s="7"/>
      <c r="J249" s="29"/>
      <c r="K249" s="29">
        <f t="shared" si="24"/>
        <v>8.6832687500000019E-2</v>
      </c>
      <c r="L249" s="7"/>
      <c r="M249" s="29">
        <f>IF(Ondergrondscenarios[[#This Row],[Scenariotype '[-']]]="Tussenzandlaag",0,VLOOKUP($C249,DataDijkvakken[#All],4,FALSE))</f>
        <v>37.5</v>
      </c>
      <c r="N249" s="29">
        <f t="shared" si="25"/>
        <v>37.5</v>
      </c>
      <c r="O249" s="29">
        <f>VLOOKUP($C249,DataDijkvakken!$B:$G,5,FALSE)</f>
        <v>15</v>
      </c>
      <c r="P249" s="29">
        <f>VLOOKUP($C249,DataDijkvakken!$B:$G,6,FALSE)</f>
        <v>37.5</v>
      </c>
      <c r="Q249" s="29">
        <f t="shared" si="26"/>
        <v>37.5</v>
      </c>
      <c r="R249" s="7">
        <v>1406.25</v>
      </c>
      <c r="S249" s="27"/>
      <c r="T249" s="32">
        <f t="shared" si="27"/>
        <v>0</v>
      </c>
      <c r="U249" s="27"/>
      <c r="V249">
        <f t="shared" si="28"/>
        <v>0.86832687500000016</v>
      </c>
      <c r="W249" s="31">
        <f t="shared" si="29"/>
        <v>34.944021920333526</v>
      </c>
      <c r="X249" s="33"/>
      <c r="Y249">
        <f>IF(Ondergrondscenarios[[#This Row],[Scenariotype '[-']]]="-","",IF(Ondergrondscenarios[[#This Row],[Scenariotype '[-']]]="Pleistoceen",VLOOKUP(Ondergrondscenarios[[#This Row],[Vaknaam '[-']]],DataDijkvakken[#All],8,FALSE),VLOOKUP(Ondergrondscenarios[[#This Row],[Vaknaam '[-']]],DataDijkvakken[#All],7,FALSE)))</f>
        <v>2.5999999999999998E-4</v>
      </c>
      <c r="Z249">
        <f>VLOOKUP($C249,DataDijkvakken[#All],3,FALSE)</f>
        <v>16</v>
      </c>
      <c r="AA249" s="8"/>
    </row>
    <row r="250" spans="1:27" x14ac:dyDescent="0.3">
      <c r="A250">
        <f>IFERROR(IF(Ondergrondscenarios[[#This Row],[Scenarionaam '[-']]]="","",A249+1),1)</f>
        <v>249</v>
      </c>
      <c r="B250">
        <f>A253/6</f>
        <v>42</v>
      </c>
      <c r="C250" t="str">
        <f>VLOOKUP(Ondergrondscenarios[[#This Row],[VakID '[-']]],DataDijkvakken!A:I,2,FALSE)</f>
        <v>12d</v>
      </c>
      <c r="D250" s="8" t="str">
        <f>GenererenScenarios!$B$5</f>
        <v>P_S3_HL_TZ</v>
      </c>
      <c r="E250" s="8" t="str">
        <f>GenererenScenarios!$C$5</f>
        <v>Tussenzandlaag</v>
      </c>
      <c r="F250" s="26">
        <v>0</v>
      </c>
      <c r="G250" s="29">
        <f>VLOOKUP($C250,DataDijkvakken!$B:$G,2,FALSE)</f>
        <v>8.6832687500000019E-2</v>
      </c>
      <c r="H250" s="7"/>
      <c r="I250" s="7"/>
      <c r="J250" s="29"/>
      <c r="K250" s="29">
        <f t="shared" si="24"/>
        <v>8.6832687500000019E-2</v>
      </c>
      <c r="L250" s="7"/>
      <c r="M250" s="29">
        <f>IF(Ondergrondscenarios[[#This Row],[Scenariotype '[-']]]="Tussenzandlaag",0,VLOOKUP($C250,DataDijkvakken[#All],4,FALSE))</f>
        <v>0</v>
      </c>
      <c r="N250" s="29">
        <f t="shared" si="25"/>
        <v>0.1</v>
      </c>
      <c r="O250" s="29">
        <f>VLOOKUP($C250,DataDijkvakken!$B:$G,5,FALSE)</f>
        <v>15</v>
      </c>
      <c r="P250" s="29">
        <f>VLOOKUP($C250,DataDijkvakken!$B:$G,6,FALSE)</f>
        <v>37.5</v>
      </c>
      <c r="Q250" s="29">
        <f t="shared" si="26"/>
        <v>0.1</v>
      </c>
      <c r="R250" s="7">
        <v>1.0000000000000002E-2</v>
      </c>
      <c r="S250" s="27"/>
      <c r="T250" s="32">
        <f t="shared" si="27"/>
        <v>0</v>
      </c>
      <c r="U250" s="27"/>
      <c r="V250">
        <f t="shared" si="28"/>
        <v>0.86832687500000016</v>
      </c>
      <c r="W250" s="31">
        <f t="shared" si="29"/>
        <v>9.3184058454222757E-2</v>
      </c>
      <c r="X250" s="33"/>
      <c r="Y250">
        <f>IF(Ondergrondscenarios[[#This Row],[Scenariotype '[-']]]="-","",IF(Ondergrondscenarios[[#This Row],[Scenariotype '[-']]]="Pleistoceen",VLOOKUP(Ondergrondscenarios[[#This Row],[Vaknaam '[-']]],DataDijkvakken[#All],8,FALSE),VLOOKUP(Ondergrondscenarios[[#This Row],[Vaknaam '[-']]],DataDijkvakken[#All],7,FALSE)))</f>
        <v>2.5999999999999998E-4</v>
      </c>
      <c r="Z250">
        <f>VLOOKUP($C250,DataDijkvakken[#All],3,FALSE)</f>
        <v>16</v>
      </c>
      <c r="AA250" s="8"/>
    </row>
    <row r="251" spans="1:27" x14ac:dyDescent="0.3">
      <c r="A251">
        <f>IFERROR(IF(Ondergrondscenarios[[#This Row],[Scenarionaam '[-']]]="","",A250+1),1)</f>
        <v>250</v>
      </c>
      <c r="B251">
        <f>A253/6</f>
        <v>42</v>
      </c>
      <c r="C251" t="str">
        <f>VLOOKUP(Ondergrondscenarios[[#This Row],[VakID '[-']]],DataDijkvakken!A:I,2,FALSE)</f>
        <v>12d</v>
      </c>
      <c r="D251" s="8" t="str">
        <f>GenererenScenarios!$B$6</f>
        <v>P_S4</v>
      </c>
      <c r="E251" s="8" t="str">
        <f>GenererenScenarios!$C$6</f>
        <v>-</v>
      </c>
      <c r="F251" s="26">
        <v>0</v>
      </c>
      <c r="G251" s="29">
        <f>VLOOKUP($C251,DataDijkvakken!$B:$G,2,FALSE)</f>
        <v>8.6832687500000019E-2</v>
      </c>
      <c r="H251" s="7"/>
      <c r="I251" s="7"/>
      <c r="J251" s="29"/>
      <c r="K251" s="29">
        <f t="shared" si="24"/>
        <v>8.6832687500000019E-2</v>
      </c>
      <c r="L251" s="7"/>
      <c r="M251" s="29">
        <f>IF(Ondergrondscenarios[[#This Row],[Scenariotype '[-']]]="Tussenzandlaag",0,VLOOKUP($C251,DataDijkvakken[#All],4,FALSE))</f>
        <v>37.5</v>
      </c>
      <c r="N251" s="29">
        <f t="shared" si="25"/>
        <v>37.5</v>
      </c>
      <c r="O251" s="29">
        <f>VLOOKUP($C251,DataDijkvakken!$B:$G,5,FALSE)</f>
        <v>15</v>
      </c>
      <c r="P251" s="29">
        <f>VLOOKUP($C251,DataDijkvakken!$B:$G,6,FALSE)</f>
        <v>37.5</v>
      </c>
      <c r="Q251" s="29">
        <f t="shared" si="26"/>
        <v>37.5</v>
      </c>
      <c r="R251" s="7">
        <v>1406.25</v>
      </c>
      <c r="S251" s="27"/>
      <c r="T251" s="32">
        <f t="shared" si="27"/>
        <v>0</v>
      </c>
      <c r="U251" s="27"/>
      <c r="V251">
        <f t="shared" si="28"/>
        <v>0.86832687500000016</v>
      </c>
      <c r="W251" s="31">
        <f t="shared" si="29"/>
        <v>34.944021920333526</v>
      </c>
      <c r="X251" s="33"/>
      <c r="Y251" t="str">
        <f>IF(Ondergrondscenarios[[#This Row],[Scenariotype '[-']]]="-","",IF(Ondergrondscenarios[[#This Row],[Scenariotype '[-']]]="Pleistoceen",VLOOKUP(Ondergrondscenarios[[#This Row],[Vaknaam '[-']]],DataDijkvakken[#All],8,FALSE),VLOOKUP(Ondergrondscenarios[[#This Row],[Vaknaam '[-']]],DataDijkvakken[#All],7,FALSE)))</f>
        <v/>
      </c>
      <c r="Z251">
        <f>VLOOKUP($C251,DataDijkvakken[#All],3,FALSE)</f>
        <v>16</v>
      </c>
      <c r="AA251" s="8"/>
    </row>
    <row r="252" spans="1:27" x14ac:dyDescent="0.3">
      <c r="A252">
        <f>IFERROR(IF(Ondergrondscenarios[[#This Row],[Scenarionaam '[-']]]="","",A251+1),1)</f>
        <v>251</v>
      </c>
      <c r="B252">
        <f>A253/6</f>
        <v>42</v>
      </c>
      <c r="C252" t="str">
        <f>VLOOKUP(Ondergrondscenarios[[#This Row],[VakID '[-']]],DataDijkvakken!A:I,2,FALSE)</f>
        <v>12d</v>
      </c>
      <c r="D252" s="8" t="str">
        <f>GenererenScenarios!$B$7</f>
        <v>P_S5</v>
      </c>
      <c r="E252" s="8" t="str">
        <f>GenererenScenarios!$C$7</f>
        <v>-</v>
      </c>
      <c r="F252" s="26">
        <v>0</v>
      </c>
      <c r="G252" s="29">
        <f>VLOOKUP($C252,DataDijkvakken!$B:$G,2,FALSE)</f>
        <v>8.6832687500000019E-2</v>
      </c>
      <c r="H252" s="7"/>
      <c r="I252" s="7"/>
      <c r="J252" s="29"/>
      <c r="K252" s="29">
        <f t="shared" si="24"/>
        <v>8.6832687500000019E-2</v>
      </c>
      <c r="L252" s="7"/>
      <c r="M252" s="29">
        <f>IF(Ondergrondscenarios[[#This Row],[Scenariotype '[-']]]="Tussenzandlaag",0,VLOOKUP($C252,DataDijkvakken[#All],4,FALSE))</f>
        <v>37.5</v>
      </c>
      <c r="N252" s="29">
        <f t="shared" si="25"/>
        <v>37.5</v>
      </c>
      <c r="O252" s="29">
        <f>VLOOKUP($C252,DataDijkvakken!$B:$G,5,FALSE)</f>
        <v>15</v>
      </c>
      <c r="P252" s="29">
        <f>VLOOKUP($C252,DataDijkvakken!$B:$G,6,FALSE)</f>
        <v>37.5</v>
      </c>
      <c r="Q252" s="29">
        <f t="shared" si="26"/>
        <v>37.5</v>
      </c>
      <c r="R252" s="7">
        <v>1406.25</v>
      </c>
      <c r="S252" s="27"/>
      <c r="T252" s="32">
        <f t="shared" si="27"/>
        <v>0</v>
      </c>
      <c r="U252" s="27"/>
      <c r="V252">
        <f t="shared" si="28"/>
        <v>0.86832687500000016</v>
      </c>
      <c r="W252" s="31">
        <f t="shared" si="29"/>
        <v>34.944021920333526</v>
      </c>
      <c r="X252" s="33"/>
      <c r="Y252" t="str">
        <f>IF(Ondergrondscenarios[[#This Row],[Scenariotype '[-']]]="-","",IF(Ondergrondscenarios[[#This Row],[Scenariotype '[-']]]="Pleistoceen",VLOOKUP(Ondergrondscenarios[[#This Row],[Vaknaam '[-']]],DataDijkvakken[#All],8,FALSE),VLOOKUP(Ondergrondscenarios[[#This Row],[Vaknaam '[-']]],DataDijkvakken[#All],7,FALSE)))</f>
        <v/>
      </c>
      <c r="Z252">
        <f>VLOOKUP($C252,DataDijkvakken[#All],3,FALSE)</f>
        <v>16</v>
      </c>
      <c r="AA252" s="8"/>
    </row>
    <row r="253" spans="1:27" x14ac:dyDescent="0.3">
      <c r="A253">
        <f>IFERROR(IF(Ondergrondscenarios[[#This Row],[Scenarionaam '[-']]]="","",A252+1),1)</f>
        <v>252</v>
      </c>
      <c r="B253">
        <f>A253/6</f>
        <v>42</v>
      </c>
      <c r="C253" t="str">
        <f>VLOOKUP(Ondergrondscenarios[[#This Row],[VakID '[-']]],DataDijkvakken!A:I,2,FALSE)</f>
        <v>12d</v>
      </c>
      <c r="D253" s="8" t="str">
        <f>GenererenScenarios!$B$8</f>
        <v>P_S6</v>
      </c>
      <c r="E253" s="8" t="str">
        <f>GenererenScenarios!$C$8</f>
        <v>-</v>
      </c>
      <c r="F253" s="26">
        <v>0</v>
      </c>
      <c r="G253" s="29">
        <f>VLOOKUP($C253,DataDijkvakken!$B:$G,2,FALSE)</f>
        <v>8.6832687500000019E-2</v>
      </c>
      <c r="H253" s="7"/>
      <c r="I253" s="7"/>
      <c r="J253" s="29"/>
      <c r="K253" s="29">
        <f t="shared" si="24"/>
        <v>8.6832687500000019E-2</v>
      </c>
      <c r="L253" s="7"/>
      <c r="M253" s="29">
        <f>IF(Ondergrondscenarios[[#This Row],[Scenariotype '[-']]]="Tussenzandlaag",0,VLOOKUP($C253,DataDijkvakken[#All],4,FALSE))</f>
        <v>37.5</v>
      </c>
      <c r="N253" s="29">
        <f t="shared" si="25"/>
        <v>37.5</v>
      </c>
      <c r="O253" s="29">
        <f>VLOOKUP($C253,DataDijkvakken!$B:$G,5,FALSE)</f>
        <v>15</v>
      </c>
      <c r="P253" s="29">
        <f>VLOOKUP($C253,DataDijkvakken!$B:$G,6,FALSE)</f>
        <v>37.5</v>
      </c>
      <c r="Q253" s="29">
        <f t="shared" si="26"/>
        <v>37.5</v>
      </c>
      <c r="R253" s="7">
        <v>1406.25</v>
      </c>
      <c r="S253" s="27"/>
      <c r="T253" s="32">
        <f t="shared" si="27"/>
        <v>0</v>
      </c>
      <c r="U253" s="27"/>
      <c r="V253">
        <f t="shared" si="28"/>
        <v>0.86832687500000016</v>
      </c>
      <c r="W253" s="31">
        <f t="shared" si="29"/>
        <v>34.944021920333526</v>
      </c>
      <c r="X253" s="33"/>
      <c r="Y253" t="str">
        <f>IF(Ondergrondscenarios[[#This Row],[Scenariotype '[-']]]="-","",IF(Ondergrondscenarios[[#This Row],[Scenariotype '[-']]]="Pleistoceen",VLOOKUP(Ondergrondscenarios[[#This Row],[Vaknaam '[-']]],DataDijkvakken[#All],8,FALSE),VLOOKUP(Ondergrondscenarios[[#This Row],[Vaknaam '[-']]],DataDijkvakken[#All],7,FALSE)))</f>
        <v/>
      </c>
      <c r="Z253">
        <f>VLOOKUP($C253,DataDijkvakken[#All],3,FALSE)</f>
        <v>16</v>
      </c>
      <c r="AA253" s="8"/>
    </row>
    <row r="254" spans="1:27" x14ac:dyDescent="0.3">
      <c r="A254">
        <f>IFERROR(IF(Ondergrondscenarios[[#This Row],[Scenarionaam '[-']]]="","",A253+1),1)</f>
        <v>253</v>
      </c>
      <c r="B254">
        <f>A259/6</f>
        <v>43</v>
      </c>
      <c r="C254" t="str">
        <f>VLOOKUP(Ondergrondscenarios[[#This Row],[VakID '[-']]],DataDijkvakken!A:I,2,FALSE)</f>
        <v>12e</v>
      </c>
      <c r="D254" s="8" t="str">
        <f>GenererenScenarios!$B$3</f>
        <v>P_S1_PL</v>
      </c>
      <c r="E254" s="8" t="str">
        <f>GenererenScenarios!$C$3</f>
        <v>Pleistoceen</v>
      </c>
      <c r="F254" s="26">
        <v>1</v>
      </c>
      <c r="G254" s="29">
        <f>VLOOKUP($C254,DataDijkvakken!$B:$G,2,FALSE)</f>
        <v>0.99680750000000007</v>
      </c>
      <c r="H254" s="7"/>
      <c r="I254" s="7"/>
      <c r="J254" s="29">
        <v>-7.5</v>
      </c>
      <c r="K254" s="29">
        <f t="shared" si="24"/>
        <v>8.4968074999999992</v>
      </c>
      <c r="L254" s="7">
        <v>0</v>
      </c>
      <c r="M254" s="29">
        <f>IF(Ondergrondscenarios[[#This Row],[Scenariotype '[-']]]="Tussenzandlaag",0,VLOOKUP($C254,DataDijkvakken[#All],4,FALSE))</f>
        <v>37.5</v>
      </c>
      <c r="N254" s="29">
        <f t="shared" si="25"/>
        <v>37.5</v>
      </c>
      <c r="O254" s="29">
        <f>VLOOKUP($C254,DataDijkvakken!$B:$G,5,FALSE)</f>
        <v>15</v>
      </c>
      <c r="P254" s="29">
        <f>VLOOKUP($C254,DataDijkvakken!$B:$G,6,FALSE)</f>
        <v>37.5</v>
      </c>
      <c r="Q254" s="29">
        <f t="shared" si="26"/>
        <v>37.5</v>
      </c>
      <c r="R254" s="7">
        <v>1406.25</v>
      </c>
      <c r="S254" s="27"/>
      <c r="T254" s="32">
        <f t="shared" si="27"/>
        <v>0</v>
      </c>
      <c r="U254" s="27"/>
      <c r="V254">
        <f t="shared" si="28"/>
        <v>714.68074999999988</v>
      </c>
      <c r="W254" s="31">
        <f t="shared" si="29"/>
        <v>1002.5067604198487</v>
      </c>
      <c r="X254" s="33"/>
      <c r="Y254">
        <f>IF(Ondergrondscenarios[[#This Row],[Scenariotype '[-']]]="-","",IF(Ondergrondscenarios[[#This Row],[Scenariotype '[-']]]="Pleistoceen",VLOOKUP(Ondergrondscenarios[[#This Row],[Vaknaam '[-']]],DataDijkvakken[#All],8,FALSE),VLOOKUP(Ondergrondscenarios[[#This Row],[Vaknaam '[-']]],DataDijkvakken[#All],7,FALSE)))</f>
        <v>3.5000000000000005E-4</v>
      </c>
      <c r="Z254">
        <f>VLOOKUP($C254,DataDijkvakken[#All],3,FALSE)</f>
        <v>16</v>
      </c>
      <c r="AA254" s="8"/>
    </row>
    <row r="255" spans="1:27" x14ac:dyDescent="0.3">
      <c r="A255">
        <f>IFERROR(IF(Ondergrondscenarios[[#This Row],[Scenarionaam '[-']]]="","",A254+1),1)</f>
        <v>254</v>
      </c>
      <c r="B255">
        <f>A259/6</f>
        <v>43</v>
      </c>
      <c r="C255" t="str">
        <f>VLOOKUP(Ondergrondscenarios[[#This Row],[VakID '[-']]],DataDijkvakken!A:I,2,FALSE)</f>
        <v>12e</v>
      </c>
      <c r="D255" s="8" t="str">
        <f>GenererenScenarios!$B$4</f>
        <v>P_S2_HL_F</v>
      </c>
      <c r="E255" s="8" t="str">
        <f>GenererenScenarios!$C$4</f>
        <v>Holoceen</v>
      </c>
      <c r="F255" s="26">
        <v>0</v>
      </c>
      <c r="G255" s="29">
        <f>VLOOKUP($C255,DataDijkvakken!$B:$G,2,FALSE)</f>
        <v>0.99680750000000007</v>
      </c>
      <c r="H255" s="7"/>
      <c r="I255" s="7"/>
      <c r="J255" s="29"/>
      <c r="K255" s="29">
        <f t="shared" si="24"/>
        <v>0.99680750000000007</v>
      </c>
      <c r="L255" s="7"/>
      <c r="M255" s="29">
        <f>IF(Ondergrondscenarios[[#This Row],[Scenariotype '[-']]]="Tussenzandlaag",0,VLOOKUP($C255,DataDijkvakken[#All],4,FALSE))</f>
        <v>37.5</v>
      </c>
      <c r="N255" s="29">
        <f t="shared" si="25"/>
        <v>37.5</v>
      </c>
      <c r="O255" s="29">
        <f>VLOOKUP($C255,DataDijkvakken!$B:$G,5,FALSE)</f>
        <v>15</v>
      </c>
      <c r="P255" s="29">
        <f>VLOOKUP($C255,DataDijkvakken!$B:$G,6,FALSE)</f>
        <v>37.5</v>
      </c>
      <c r="Q255" s="29">
        <f t="shared" si="26"/>
        <v>37.5</v>
      </c>
      <c r="R255" s="7">
        <v>1406.25</v>
      </c>
      <c r="S255" s="27"/>
      <c r="T255" s="32">
        <f t="shared" si="27"/>
        <v>0</v>
      </c>
      <c r="U255" s="27"/>
      <c r="V255">
        <f t="shared" si="28"/>
        <v>9.9680750000000007</v>
      </c>
      <c r="W255" s="31">
        <f t="shared" si="29"/>
        <v>118.39596897170951</v>
      </c>
      <c r="X255" s="33"/>
      <c r="Y255">
        <f>IF(Ondergrondscenarios[[#This Row],[Scenariotype '[-']]]="-","",IF(Ondergrondscenarios[[#This Row],[Scenariotype '[-']]]="Pleistoceen",VLOOKUP(Ondergrondscenarios[[#This Row],[Vaknaam '[-']]],DataDijkvakken[#All],8,FALSE),VLOOKUP(Ondergrondscenarios[[#This Row],[Vaknaam '[-']]],DataDijkvakken[#All],7,FALSE)))</f>
        <v>2.5999999999999998E-4</v>
      </c>
      <c r="Z255">
        <f>VLOOKUP($C255,DataDijkvakken[#All],3,FALSE)</f>
        <v>16</v>
      </c>
      <c r="AA255" s="8"/>
    </row>
    <row r="256" spans="1:27" x14ac:dyDescent="0.3">
      <c r="A256">
        <f>IFERROR(IF(Ondergrondscenarios[[#This Row],[Scenarionaam '[-']]]="","",A255+1),1)</f>
        <v>255</v>
      </c>
      <c r="B256">
        <f>A259/6</f>
        <v>43</v>
      </c>
      <c r="C256" t="str">
        <f>VLOOKUP(Ondergrondscenarios[[#This Row],[VakID '[-']]],DataDijkvakken!A:I,2,FALSE)</f>
        <v>12e</v>
      </c>
      <c r="D256" s="8" t="str">
        <f>GenererenScenarios!$B$5</f>
        <v>P_S3_HL_TZ</v>
      </c>
      <c r="E256" s="8" t="str">
        <f>GenererenScenarios!$C$5</f>
        <v>Tussenzandlaag</v>
      </c>
      <c r="F256" s="26">
        <v>0</v>
      </c>
      <c r="G256" s="29">
        <f>VLOOKUP($C256,DataDijkvakken!$B:$G,2,FALSE)</f>
        <v>0.99680750000000007</v>
      </c>
      <c r="H256" s="7"/>
      <c r="I256" s="7"/>
      <c r="J256" s="29"/>
      <c r="K256" s="29">
        <f t="shared" si="24"/>
        <v>0.99680750000000007</v>
      </c>
      <c r="L256" s="7"/>
      <c r="M256" s="29">
        <f>IF(Ondergrondscenarios[[#This Row],[Scenariotype '[-']]]="Tussenzandlaag",0,VLOOKUP($C256,DataDijkvakken[#All],4,FALSE))</f>
        <v>0</v>
      </c>
      <c r="N256" s="29">
        <f t="shared" si="25"/>
        <v>0.1</v>
      </c>
      <c r="O256" s="29">
        <f>VLOOKUP($C256,DataDijkvakken!$B:$G,5,FALSE)</f>
        <v>15</v>
      </c>
      <c r="P256" s="29">
        <f>VLOOKUP($C256,DataDijkvakken!$B:$G,6,FALSE)</f>
        <v>37.5</v>
      </c>
      <c r="Q256" s="29">
        <f t="shared" si="26"/>
        <v>0.1</v>
      </c>
      <c r="R256" s="7">
        <v>1.0000000000000002E-2</v>
      </c>
      <c r="S256" s="27"/>
      <c r="T256" s="32">
        <f t="shared" si="27"/>
        <v>0</v>
      </c>
      <c r="U256" s="27"/>
      <c r="V256">
        <f t="shared" si="28"/>
        <v>9.9680750000000007</v>
      </c>
      <c r="W256" s="31">
        <f t="shared" si="29"/>
        <v>0.31572258392455871</v>
      </c>
      <c r="X256" s="33"/>
      <c r="Y256">
        <f>IF(Ondergrondscenarios[[#This Row],[Scenariotype '[-']]]="-","",IF(Ondergrondscenarios[[#This Row],[Scenariotype '[-']]]="Pleistoceen",VLOOKUP(Ondergrondscenarios[[#This Row],[Vaknaam '[-']]],DataDijkvakken[#All],8,FALSE),VLOOKUP(Ondergrondscenarios[[#This Row],[Vaknaam '[-']]],DataDijkvakken[#All],7,FALSE)))</f>
        <v>2.5999999999999998E-4</v>
      </c>
      <c r="Z256">
        <f>VLOOKUP($C256,DataDijkvakken[#All],3,FALSE)</f>
        <v>16</v>
      </c>
      <c r="AA256" s="8"/>
    </row>
    <row r="257" spans="1:27" x14ac:dyDescent="0.3">
      <c r="A257">
        <f>IFERROR(IF(Ondergrondscenarios[[#This Row],[Scenarionaam '[-']]]="","",A256+1),1)</f>
        <v>256</v>
      </c>
      <c r="B257">
        <f>A259/6</f>
        <v>43</v>
      </c>
      <c r="C257" t="str">
        <f>VLOOKUP(Ondergrondscenarios[[#This Row],[VakID '[-']]],DataDijkvakken!A:I,2,FALSE)</f>
        <v>12e</v>
      </c>
      <c r="D257" s="8" t="str">
        <f>GenererenScenarios!$B$6</f>
        <v>P_S4</v>
      </c>
      <c r="E257" s="8" t="str">
        <f>GenererenScenarios!$C$6</f>
        <v>-</v>
      </c>
      <c r="F257" s="26">
        <v>0</v>
      </c>
      <c r="G257" s="29">
        <f>VLOOKUP($C257,DataDijkvakken!$B:$G,2,FALSE)</f>
        <v>0.99680750000000007</v>
      </c>
      <c r="H257" s="7"/>
      <c r="I257" s="7"/>
      <c r="J257" s="29"/>
      <c r="K257" s="29">
        <f t="shared" si="24"/>
        <v>0.99680750000000007</v>
      </c>
      <c r="L257" s="7"/>
      <c r="M257" s="29">
        <f>IF(Ondergrondscenarios[[#This Row],[Scenariotype '[-']]]="Tussenzandlaag",0,VLOOKUP($C257,DataDijkvakken[#All],4,FALSE))</f>
        <v>37.5</v>
      </c>
      <c r="N257" s="29">
        <f t="shared" si="25"/>
        <v>37.5</v>
      </c>
      <c r="O257" s="29">
        <f>VLOOKUP($C257,DataDijkvakken!$B:$G,5,FALSE)</f>
        <v>15</v>
      </c>
      <c r="P257" s="29">
        <f>VLOOKUP($C257,DataDijkvakken!$B:$G,6,FALSE)</f>
        <v>37.5</v>
      </c>
      <c r="Q257" s="29">
        <f t="shared" si="26"/>
        <v>37.5</v>
      </c>
      <c r="R257" s="7">
        <v>1406.25</v>
      </c>
      <c r="S257" s="27"/>
      <c r="T257" s="32">
        <f t="shared" si="27"/>
        <v>0</v>
      </c>
      <c r="U257" s="27"/>
      <c r="V257">
        <f t="shared" si="28"/>
        <v>9.9680750000000007</v>
      </c>
      <c r="W257" s="31">
        <f t="shared" si="29"/>
        <v>118.39596897170951</v>
      </c>
      <c r="X257" s="33"/>
      <c r="Y257" t="str">
        <f>IF(Ondergrondscenarios[[#This Row],[Scenariotype '[-']]]="-","",IF(Ondergrondscenarios[[#This Row],[Scenariotype '[-']]]="Pleistoceen",VLOOKUP(Ondergrondscenarios[[#This Row],[Vaknaam '[-']]],DataDijkvakken[#All],8,FALSE),VLOOKUP(Ondergrondscenarios[[#This Row],[Vaknaam '[-']]],DataDijkvakken[#All],7,FALSE)))</f>
        <v/>
      </c>
      <c r="Z257">
        <f>VLOOKUP($C257,DataDijkvakken[#All],3,FALSE)</f>
        <v>16</v>
      </c>
      <c r="AA257" s="8"/>
    </row>
    <row r="258" spans="1:27" x14ac:dyDescent="0.3">
      <c r="A258">
        <f>IFERROR(IF(Ondergrondscenarios[[#This Row],[Scenarionaam '[-']]]="","",A257+1),1)</f>
        <v>257</v>
      </c>
      <c r="B258">
        <f>A259/6</f>
        <v>43</v>
      </c>
      <c r="C258" t="str">
        <f>VLOOKUP(Ondergrondscenarios[[#This Row],[VakID '[-']]],DataDijkvakken!A:I,2,FALSE)</f>
        <v>12e</v>
      </c>
      <c r="D258" s="8" t="str">
        <f>GenererenScenarios!$B$7</f>
        <v>P_S5</v>
      </c>
      <c r="E258" s="8" t="str">
        <f>GenererenScenarios!$C$7</f>
        <v>-</v>
      </c>
      <c r="F258" s="26">
        <v>0</v>
      </c>
      <c r="G258" s="29">
        <f>VLOOKUP($C258,DataDijkvakken!$B:$G,2,FALSE)</f>
        <v>0.99680750000000007</v>
      </c>
      <c r="H258" s="7"/>
      <c r="I258" s="7"/>
      <c r="J258" s="29"/>
      <c r="K258" s="29">
        <f t="shared" si="24"/>
        <v>0.99680750000000007</v>
      </c>
      <c r="L258" s="7"/>
      <c r="M258" s="29">
        <f>IF(Ondergrondscenarios[[#This Row],[Scenariotype '[-']]]="Tussenzandlaag",0,VLOOKUP($C258,DataDijkvakken[#All],4,FALSE))</f>
        <v>37.5</v>
      </c>
      <c r="N258" s="29">
        <f t="shared" si="25"/>
        <v>37.5</v>
      </c>
      <c r="O258" s="29">
        <f>VLOOKUP($C258,DataDijkvakken!$B:$G,5,FALSE)</f>
        <v>15</v>
      </c>
      <c r="P258" s="29">
        <f>VLOOKUP($C258,DataDijkvakken!$B:$G,6,FALSE)</f>
        <v>37.5</v>
      </c>
      <c r="Q258" s="29">
        <f t="shared" si="26"/>
        <v>37.5</v>
      </c>
      <c r="R258" s="7">
        <v>1406.25</v>
      </c>
      <c r="S258" s="27"/>
      <c r="T258" s="32">
        <f t="shared" si="27"/>
        <v>0</v>
      </c>
      <c r="U258" s="27"/>
      <c r="V258">
        <f t="shared" si="28"/>
        <v>9.9680750000000007</v>
      </c>
      <c r="W258" s="31">
        <f t="shared" si="29"/>
        <v>118.39596897170951</v>
      </c>
      <c r="X258" s="33"/>
      <c r="Y258" t="str">
        <f>IF(Ondergrondscenarios[[#This Row],[Scenariotype '[-']]]="-","",IF(Ondergrondscenarios[[#This Row],[Scenariotype '[-']]]="Pleistoceen",VLOOKUP(Ondergrondscenarios[[#This Row],[Vaknaam '[-']]],DataDijkvakken[#All],8,FALSE),VLOOKUP(Ondergrondscenarios[[#This Row],[Vaknaam '[-']]],DataDijkvakken[#All],7,FALSE)))</f>
        <v/>
      </c>
      <c r="Z258">
        <f>VLOOKUP($C258,DataDijkvakken[#All],3,FALSE)</f>
        <v>16</v>
      </c>
      <c r="AA258" s="8"/>
    </row>
    <row r="259" spans="1:27" x14ac:dyDescent="0.3">
      <c r="A259">
        <f>IFERROR(IF(Ondergrondscenarios[[#This Row],[Scenarionaam '[-']]]="","",A258+1),1)</f>
        <v>258</v>
      </c>
      <c r="B259">
        <f>A259/6</f>
        <v>43</v>
      </c>
      <c r="C259" t="str">
        <f>VLOOKUP(Ondergrondscenarios[[#This Row],[VakID '[-']]],DataDijkvakken!A:I,2,FALSE)</f>
        <v>12e</v>
      </c>
      <c r="D259" s="8" t="str">
        <f>GenererenScenarios!$B$8</f>
        <v>P_S6</v>
      </c>
      <c r="E259" s="8" t="str">
        <f>GenererenScenarios!$C$8</f>
        <v>-</v>
      </c>
      <c r="F259" s="26">
        <v>0</v>
      </c>
      <c r="G259" s="29">
        <f>VLOOKUP($C259,DataDijkvakken!$B:$G,2,FALSE)</f>
        <v>0.99680750000000007</v>
      </c>
      <c r="H259" s="7"/>
      <c r="I259" s="7"/>
      <c r="J259" s="29"/>
      <c r="K259" s="29">
        <f t="shared" si="24"/>
        <v>0.99680750000000007</v>
      </c>
      <c r="L259" s="7"/>
      <c r="M259" s="29">
        <f>IF(Ondergrondscenarios[[#This Row],[Scenariotype '[-']]]="Tussenzandlaag",0,VLOOKUP($C259,DataDijkvakken[#All],4,FALSE))</f>
        <v>37.5</v>
      </c>
      <c r="N259" s="29">
        <f t="shared" si="25"/>
        <v>37.5</v>
      </c>
      <c r="O259" s="29">
        <f>VLOOKUP($C259,DataDijkvakken!$B:$G,5,FALSE)</f>
        <v>15</v>
      </c>
      <c r="P259" s="29">
        <f>VLOOKUP($C259,DataDijkvakken!$B:$G,6,FALSE)</f>
        <v>37.5</v>
      </c>
      <c r="Q259" s="29">
        <f t="shared" si="26"/>
        <v>37.5</v>
      </c>
      <c r="R259" s="7">
        <v>1406.25</v>
      </c>
      <c r="S259" s="27"/>
      <c r="T259" s="32">
        <f t="shared" si="27"/>
        <v>0</v>
      </c>
      <c r="U259" s="27"/>
      <c r="V259">
        <f t="shared" si="28"/>
        <v>9.9680750000000007</v>
      </c>
      <c r="W259" s="31">
        <f t="shared" si="29"/>
        <v>118.39596897170951</v>
      </c>
      <c r="X259" s="33"/>
      <c r="Y259" t="str">
        <f>IF(Ondergrondscenarios[[#This Row],[Scenariotype '[-']]]="-","",IF(Ondergrondscenarios[[#This Row],[Scenariotype '[-']]]="Pleistoceen",VLOOKUP(Ondergrondscenarios[[#This Row],[Vaknaam '[-']]],DataDijkvakken[#All],8,FALSE),VLOOKUP(Ondergrondscenarios[[#This Row],[Vaknaam '[-']]],DataDijkvakken[#All],7,FALSE)))</f>
        <v/>
      </c>
      <c r="Z259">
        <f>VLOOKUP($C259,DataDijkvakken[#All],3,FALSE)</f>
        <v>16</v>
      </c>
      <c r="AA259" s="8"/>
    </row>
    <row r="260" spans="1:27" x14ac:dyDescent="0.3">
      <c r="A260">
        <f>IFERROR(IF(Ondergrondscenarios[[#This Row],[Scenarionaam '[-']]]="","",A259+1),1)</f>
        <v>259</v>
      </c>
      <c r="B260">
        <f>A265/6</f>
        <v>44</v>
      </c>
      <c r="C260" t="str">
        <f>VLOOKUP(Ondergrondscenarios[[#This Row],[VakID '[-']]],DataDijkvakken!A:I,2,FALSE)</f>
        <v>12f</v>
      </c>
      <c r="D260" s="8" t="str">
        <f>GenererenScenarios!$B$3</f>
        <v>P_S1_PL</v>
      </c>
      <c r="E260" s="8" t="str">
        <f>GenererenScenarios!$C$3</f>
        <v>Pleistoceen</v>
      </c>
      <c r="F260" s="26">
        <v>1</v>
      </c>
      <c r="G260" s="29">
        <f>VLOOKUP($C260,DataDijkvakken!$B:$G,2,FALSE)</f>
        <v>0.21849009090909091</v>
      </c>
      <c r="H260" s="7"/>
      <c r="I260" s="7"/>
      <c r="J260" s="29">
        <v>-8</v>
      </c>
      <c r="K260" s="29">
        <f t="shared" si="24"/>
        <v>8.218490090909091</v>
      </c>
      <c r="L260" s="7">
        <v>0</v>
      </c>
      <c r="M260" s="29">
        <f>IF(Ondergrondscenarios[[#This Row],[Scenariotype '[-']]]="Tussenzandlaag",0,VLOOKUP($C260,DataDijkvakken[#All],4,FALSE))</f>
        <v>34.5</v>
      </c>
      <c r="N260" s="29">
        <f t="shared" si="25"/>
        <v>34.5</v>
      </c>
      <c r="O260" s="29">
        <f>VLOOKUP($C260,DataDijkvakken!$B:$G,5,FALSE)</f>
        <v>15</v>
      </c>
      <c r="P260" s="29">
        <f>VLOOKUP($C260,DataDijkvakken!$B:$G,6,FALSE)</f>
        <v>37.5</v>
      </c>
      <c r="Q260" s="29">
        <f t="shared" si="26"/>
        <v>37.5</v>
      </c>
      <c r="R260" s="7">
        <v>1293.75</v>
      </c>
      <c r="S260" s="27"/>
      <c r="T260" s="32">
        <f t="shared" si="27"/>
        <v>0</v>
      </c>
      <c r="U260" s="27"/>
      <c r="V260">
        <f t="shared" si="28"/>
        <v>686.84900909090914</v>
      </c>
      <c r="W260" s="31">
        <f t="shared" si="29"/>
        <v>942.66160710583927</v>
      </c>
      <c r="X260" s="33"/>
      <c r="Y260">
        <f>IF(Ondergrondscenarios[[#This Row],[Scenariotype '[-']]]="-","",IF(Ondergrondscenarios[[#This Row],[Scenariotype '[-']]]="Pleistoceen",VLOOKUP(Ondergrondscenarios[[#This Row],[Vaknaam '[-']]],DataDijkvakken[#All],8,FALSE),VLOOKUP(Ondergrondscenarios[[#This Row],[Vaknaam '[-']]],DataDijkvakken[#All],7,FALSE)))</f>
        <v>3.5000000000000005E-4</v>
      </c>
      <c r="Z260">
        <f>VLOOKUP($C260,DataDijkvakken[#All],3,FALSE)</f>
        <v>16</v>
      </c>
      <c r="AA260" s="8"/>
    </row>
    <row r="261" spans="1:27" x14ac:dyDescent="0.3">
      <c r="A261">
        <f>IFERROR(IF(Ondergrondscenarios[[#This Row],[Scenarionaam '[-']]]="","",A260+1),1)</f>
        <v>260</v>
      </c>
      <c r="B261">
        <f>A265/6</f>
        <v>44</v>
      </c>
      <c r="C261" t="str">
        <f>VLOOKUP(Ondergrondscenarios[[#This Row],[VakID '[-']]],DataDijkvakken!A:I,2,FALSE)</f>
        <v>12f</v>
      </c>
      <c r="D261" s="8" t="str">
        <f>GenererenScenarios!$B$4</f>
        <v>P_S2_HL_F</v>
      </c>
      <c r="E261" s="8" t="str">
        <f>GenererenScenarios!$C$4</f>
        <v>Holoceen</v>
      </c>
      <c r="F261" s="26">
        <v>0</v>
      </c>
      <c r="G261" s="29">
        <f>VLOOKUP($C261,DataDijkvakken!$B:$G,2,FALSE)</f>
        <v>0.21849009090909091</v>
      </c>
      <c r="H261" s="7"/>
      <c r="I261" s="7"/>
      <c r="J261" s="29"/>
      <c r="K261" s="29">
        <f t="shared" si="24"/>
        <v>0.21849009090909091</v>
      </c>
      <c r="L261" s="7"/>
      <c r="M261" s="29">
        <f>IF(Ondergrondscenarios[[#This Row],[Scenariotype '[-']]]="Tussenzandlaag",0,VLOOKUP($C261,DataDijkvakken[#All],4,FALSE))</f>
        <v>34.5</v>
      </c>
      <c r="N261" s="29">
        <f t="shared" si="25"/>
        <v>34.5</v>
      </c>
      <c r="O261" s="29">
        <f>VLOOKUP($C261,DataDijkvakken!$B:$G,5,FALSE)</f>
        <v>15</v>
      </c>
      <c r="P261" s="29">
        <f>VLOOKUP($C261,DataDijkvakken!$B:$G,6,FALSE)</f>
        <v>37.5</v>
      </c>
      <c r="Q261" s="29">
        <f t="shared" si="26"/>
        <v>37.5</v>
      </c>
      <c r="R261" s="7">
        <v>1293.75</v>
      </c>
      <c r="S261" s="27"/>
      <c r="T261" s="32">
        <f t="shared" si="27"/>
        <v>0</v>
      </c>
      <c r="U261" s="27"/>
      <c r="V261">
        <f t="shared" si="28"/>
        <v>2.1849009090909091</v>
      </c>
      <c r="W261" s="31">
        <f t="shared" si="29"/>
        <v>53.166865161831417</v>
      </c>
      <c r="X261" s="33"/>
      <c r="Y261">
        <f>IF(Ondergrondscenarios[[#This Row],[Scenariotype '[-']]]="-","",IF(Ondergrondscenarios[[#This Row],[Scenariotype '[-']]]="Pleistoceen",VLOOKUP(Ondergrondscenarios[[#This Row],[Vaknaam '[-']]],DataDijkvakken[#All],8,FALSE),VLOOKUP(Ondergrondscenarios[[#This Row],[Vaknaam '[-']]],DataDijkvakken[#All],7,FALSE)))</f>
        <v>2.5999999999999998E-4</v>
      </c>
      <c r="Z261">
        <f>VLOOKUP($C261,DataDijkvakken[#All],3,FALSE)</f>
        <v>16</v>
      </c>
      <c r="AA261" s="8"/>
    </row>
    <row r="262" spans="1:27" x14ac:dyDescent="0.3">
      <c r="A262">
        <f>IFERROR(IF(Ondergrondscenarios[[#This Row],[Scenarionaam '[-']]]="","",A261+1),1)</f>
        <v>261</v>
      </c>
      <c r="B262">
        <f>A265/6</f>
        <v>44</v>
      </c>
      <c r="C262" t="str">
        <f>VLOOKUP(Ondergrondscenarios[[#This Row],[VakID '[-']]],DataDijkvakken!A:I,2,FALSE)</f>
        <v>12f</v>
      </c>
      <c r="D262" s="8" t="str">
        <f>GenererenScenarios!$B$5</f>
        <v>P_S3_HL_TZ</v>
      </c>
      <c r="E262" s="8" t="str">
        <f>GenererenScenarios!$C$5</f>
        <v>Tussenzandlaag</v>
      </c>
      <c r="F262" s="26">
        <v>0</v>
      </c>
      <c r="G262" s="29">
        <f>VLOOKUP($C262,DataDijkvakken!$B:$G,2,FALSE)</f>
        <v>0.21849009090909091</v>
      </c>
      <c r="H262" s="7"/>
      <c r="I262" s="7"/>
      <c r="J262" s="29"/>
      <c r="K262" s="29">
        <f t="shared" si="24"/>
        <v>0.21849009090909091</v>
      </c>
      <c r="L262" s="7"/>
      <c r="M262" s="29">
        <f>IF(Ondergrondscenarios[[#This Row],[Scenariotype '[-']]]="Tussenzandlaag",0,VLOOKUP($C262,DataDijkvakken[#All],4,FALSE))</f>
        <v>0</v>
      </c>
      <c r="N262" s="29">
        <f t="shared" si="25"/>
        <v>0.1</v>
      </c>
      <c r="O262" s="29">
        <f>VLOOKUP($C262,DataDijkvakken!$B:$G,5,FALSE)</f>
        <v>15</v>
      </c>
      <c r="P262" s="29">
        <f>VLOOKUP($C262,DataDijkvakken!$B:$G,6,FALSE)</f>
        <v>37.5</v>
      </c>
      <c r="Q262" s="29">
        <f t="shared" si="26"/>
        <v>0.1</v>
      </c>
      <c r="R262" s="7">
        <v>1.0000000000000002E-2</v>
      </c>
      <c r="S262" s="27"/>
      <c r="T262" s="32">
        <f t="shared" si="27"/>
        <v>0</v>
      </c>
      <c r="U262" s="27"/>
      <c r="V262">
        <f t="shared" si="28"/>
        <v>2.1849009090909091</v>
      </c>
      <c r="W262" s="31">
        <f t="shared" si="29"/>
        <v>0.14781410315294374</v>
      </c>
      <c r="X262" s="33"/>
      <c r="Y262">
        <f>IF(Ondergrondscenarios[[#This Row],[Scenariotype '[-']]]="-","",IF(Ondergrondscenarios[[#This Row],[Scenariotype '[-']]]="Pleistoceen",VLOOKUP(Ondergrondscenarios[[#This Row],[Vaknaam '[-']]],DataDijkvakken[#All],8,FALSE),VLOOKUP(Ondergrondscenarios[[#This Row],[Vaknaam '[-']]],DataDijkvakken[#All],7,FALSE)))</f>
        <v>2.5999999999999998E-4</v>
      </c>
      <c r="Z262">
        <f>VLOOKUP($C262,DataDijkvakken[#All],3,FALSE)</f>
        <v>16</v>
      </c>
      <c r="AA262" s="8"/>
    </row>
    <row r="263" spans="1:27" x14ac:dyDescent="0.3">
      <c r="A263">
        <f>IFERROR(IF(Ondergrondscenarios[[#This Row],[Scenarionaam '[-']]]="","",A262+1),1)</f>
        <v>262</v>
      </c>
      <c r="B263">
        <f>A265/6</f>
        <v>44</v>
      </c>
      <c r="C263" t="str">
        <f>VLOOKUP(Ondergrondscenarios[[#This Row],[VakID '[-']]],DataDijkvakken!A:I,2,FALSE)</f>
        <v>12f</v>
      </c>
      <c r="D263" s="8" t="str">
        <f>GenererenScenarios!$B$6</f>
        <v>P_S4</v>
      </c>
      <c r="E263" s="8" t="str">
        <f>GenererenScenarios!$C$6</f>
        <v>-</v>
      </c>
      <c r="F263" s="26">
        <v>0</v>
      </c>
      <c r="G263" s="29">
        <f>VLOOKUP($C263,DataDijkvakken!$B:$G,2,FALSE)</f>
        <v>0.21849009090909091</v>
      </c>
      <c r="H263" s="7"/>
      <c r="I263" s="7"/>
      <c r="J263" s="29"/>
      <c r="K263" s="29">
        <f t="shared" si="24"/>
        <v>0.21849009090909091</v>
      </c>
      <c r="L263" s="7"/>
      <c r="M263" s="29">
        <f>IF(Ondergrondscenarios[[#This Row],[Scenariotype '[-']]]="Tussenzandlaag",0,VLOOKUP($C263,DataDijkvakken[#All],4,FALSE))</f>
        <v>34.5</v>
      </c>
      <c r="N263" s="29">
        <f t="shared" si="25"/>
        <v>34.5</v>
      </c>
      <c r="O263" s="29">
        <f>VLOOKUP($C263,DataDijkvakken!$B:$G,5,FALSE)</f>
        <v>15</v>
      </c>
      <c r="P263" s="29">
        <f>VLOOKUP($C263,DataDijkvakken!$B:$G,6,FALSE)</f>
        <v>37.5</v>
      </c>
      <c r="Q263" s="29">
        <f t="shared" si="26"/>
        <v>37.5</v>
      </c>
      <c r="R263" s="7">
        <v>1293.75</v>
      </c>
      <c r="S263" s="27"/>
      <c r="T263" s="32">
        <f t="shared" si="27"/>
        <v>0</v>
      </c>
      <c r="U263" s="27"/>
      <c r="V263">
        <f t="shared" si="28"/>
        <v>2.1849009090909091</v>
      </c>
      <c r="W263" s="31">
        <f t="shared" si="29"/>
        <v>53.166865161831417</v>
      </c>
      <c r="X263" s="33"/>
      <c r="Y263" t="str">
        <f>IF(Ondergrondscenarios[[#This Row],[Scenariotype '[-']]]="-","",IF(Ondergrondscenarios[[#This Row],[Scenariotype '[-']]]="Pleistoceen",VLOOKUP(Ondergrondscenarios[[#This Row],[Vaknaam '[-']]],DataDijkvakken[#All],8,FALSE),VLOOKUP(Ondergrondscenarios[[#This Row],[Vaknaam '[-']]],DataDijkvakken[#All],7,FALSE)))</f>
        <v/>
      </c>
      <c r="Z263">
        <f>VLOOKUP($C263,DataDijkvakken[#All],3,FALSE)</f>
        <v>16</v>
      </c>
      <c r="AA263" s="8"/>
    </row>
    <row r="264" spans="1:27" x14ac:dyDescent="0.3">
      <c r="A264">
        <f>IFERROR(IF(Ondergrondscenarios[[#This Row],[Scenarionaam '[-']]]="","",A263+1),1)</f>
        <v>263</v>
      </c>
      <c r="B264">
        <f>A265/6</f>
        <v>44</v>
      </c>
      <c r="C264" t="str">
        <f>VLOOKUP(Ondergrondscenarios[[#This Row],[VakID '[-']]],DataDijkvakken!A:I,2,FALSE)</f>
        <v>12f</v>
      </c>
      <c r="D264" s="8" t="str">
        <f>GenererenScenarios!$B$7</f>
        <v>P_S5</v>
      </c>
      <c r="E264" s="8" t="str">
        <f>GenererenScenarios!$C$7</f>
        <v>-</v>
      </c>
      <c r="F264" s="26">
        <v>0</v>
      </c>
      <c r="G264" s="29">
        <f>VLOOKUP($C264,DataDijkvakken!$B:$G,2,FALSE)</f>
        <v>0.21849009090909091</v>
      </c>
      <c r="H264" s="7"/>
      <c r="I264" s="7"/>
      <c r="J264" s="29"/>
      <c r="K264" s="29">
        <f t="shared" ref="K264:K307" si="30">IFERROR(MAX(G264-J264,0),"")</f>
        <v>0.21849009090909091</v>
      </c>
      <c r="L264" s="7"/>
      <c r="M264" s="29">
        <f>IF(Ondergrondscenarios[[#This Row],[Scenariotype '[-']]]="Tussenzandlaag",0,VLOOKUP($C264,DataDijkvakken[#All],4,FALSE))</f>
        <v>34.5</v>
      </c>
      <c r="N264" s="29">
        <f t="shared" ref="N264:N307" si="31">MAX(M264+L264,0.1)</f>
        <v>34.5</v>
      </c>
      <c r="O264" s="29">
        <f>VLOOKUP($C264,DataDijkvakken!$B:$G,5,FALSE)</f>
        <v>15</v>
      </c>
      <c r="P264" s="29">
        <f>VLOOKUP($C264,DataDijkvakken!$B:$G,6,FALSE)</f>
        <v>37.5</v>
      </c>
      <c r="Q264" s="29">
        <f t="shared" ref="Q264:Q307" si="32">MAX(((L264*O264)+(M264*P264))/N264,0.1)</f>
        <v>37.5</v>
      </c>
      <c r="R264" s="7">
        <v>1293.75</v>
      </c>
      <c r="S264" s="27"/>
      <c r="T264" s="32">
        <f t="shared" ref="T264:T307" si="33">SQRT(R264*S264)</f>
        <v>0</v>
      </c>
      <c r="U264" s="27"/>
      <c r="V264">
        <f t="shared" ref="V264:V307" si="34">IFERROR(IF(K264&lt;grensDikte,K264/doorlatendheidDunneDeklaag,(grensDikte/doorlatendheidDunneDeklaag)+((K264-grensDikte)/doorlatendheidDikkeDeklaag)),"")</f>
        <v>2.1849009090909091</v>
      </c>
      <c r="W264" s="31">
        <f t="shared" ref="W264:W307" si="35">IFERROR(IF(U264="",SQRT(R264*V264),SQRT(R264*U264)),"")</f>
        <v>53.166865161831417</v>
      </c>
      <c r="X264" s="33"/>
      <c r="Y264" t="str">
        <f>IF(Ondergrondscenarios[[#This Row],[Scenariotype '[-']]]="-","",IF(Ondergrondscenarios[[#This Row],[Scenariotype '[-']]]="Pleistoceen",VLOOKUP(Ondergrondscenarios[[#This Row],[Vaknaam '[-']]],DataDijkvakken[#All],8,FALSE),VLOOKUP(Ondergrondscenarios[[#This Row],[Vaknaam '[-']]],DataDijkvakken[#All],7,FALSE)))</f>
        <v/>
      </c>
      <c r="Z264">
        <f>VLOOKUP($C264,DataDijkvakken[#All],3,FALSE)</f>
        <v>16</v>
      </c>
      <c r="AA264" s="8"/>
    </row>
    <row r="265" spans="1:27" x14ac:dyDescent="0.3">
      <c r="A265">
        <f>IFERROR(IF(Ondergrondscenarios[[#This Row],[Scenarionaam '[-']]]="","",A264+1),1)</f>
        <v>264</v>
      </c>
      <c r="B265">
        <f>A265/6</f>
        <v>44</v>
      </c>
      <c r="C265" t="str">
        <f>VLOOKUP(Ondergrondscenarios[[#This Row],[VakID '[-']]],DataDijkvakken!A:I,2,FALSE)</f>
        <v>12f</v>
      </c>
      <c r="D265" s="8" t="str">
        <f>GenererenScenarios!$B$8</f>
        <v>P_S6</v>
      </c>
      <c r="E265" s="8" t="str">
        <f>GenererenScenarios!$C$8</f>
        <v>-</v>
      </c>
      <c r="F265" s="26">
        <v>0</v>
      </c>
      <c r="G265" s="29">
        <f>VLOOKUP($C265,DataDijkvakken!$B:$G,2,FALSE)</f>
        <v>0.21849009090909091</v>
      </c>
      <c r="H265" s="7"/>
      <c r="I265" s="7"/>
      <c r="J265" s="29"/>
      <c r="K265" s="29">
        <f t="shared" si="30"/>
        <v>0.21849009090909091</v>
      </c>
      <c r="L265" s="7"/>
      <c r="M265" s="29">
        <f>IF(Ondergrondscenarios[[#This Row],[Scenariotype '[-']]]="Tussenzandlaag",0,VLOOKUP($C265,DataDijkvakken[#All],4,FALSE))</f>
        <v>34.5</v>
      </c>
      <c r="N265" s="29">
        <f t="shared" si="31"/>
        <v>34.5</v>
      </c>
      <c r="O265" s="29">
        <f>VLOOKUP($C265,DataDijkvakken!$B:$G,5,FALSE)</f>
        <v>15</v>
      </c>
      <c r="P265" s="29">
        <f>VLOOKUP($C265,DataDijkvakken!$B:$G,6,FALSE)</f>
        <v>37.5</v>
      </c>
      <c r="Q265" s="29">
        <f t="shared" si="32"/>
        <v>37.5</v>
      </c>
      <c r="R265" s="7">
        <v>1293.75</v>
      </c>
      <c r="S265" s="27"/>
      <c r="T265" s="32">
        <f t="shared" si="33"/>
        <v>0</v>
      </c>
      <c r="U265" s="27"/>
      <c r="V265">
        <f t="shared" si="34"/>
        <v>2.1849009090909091</v>
      </c>
      <c r="W265" s="31">
        <f t="shared" si="35"/>
        <v>53.166865161831417</v>
      </c>
      <c r="X265" s="33"/>
      <c r="Y265" t="str">
        <f>IF(Ondergrondscenarios[[#This Row],[Scenariotype '[-']]]="-","",IF(Ondergrondscenarios[[#This Row],[Scenariotype '[-']]]="Pleistoceen",VLOOKUP(Ondergrondscenarios[[#This Row],[Vaknaam '[-']]],DataDijkvakken[#All],8,FALSE),VLOOKUP(Ondergrondscenarios[[#This Row],[Vaknaam '[-']]],DataDijkvakken[#All],7,FALSE)))</f>
        <v/>
      </c>
      <c r="Z265">
        <f>VLOOKUP($C265,DataDijkvakken[#All],3,FALSE)</f>
        <v>16</v>
      </c>
      <c r="AA265" s="8"/>
    </row>
    <row r="266" spans="1:27" x14ac:dyDescent="0.3">
      <c r="A266">
        <f>IFERROR(IF(Ondergrondscenarios[[#This Row],[Scenarionaam '[-']]]="","",A265+1),1)</f>
        <v>265</v>
      </c>
      <c r="B266">
        <f>A271/6</f>
        <v>45</v>
      </c>
      <c r="C266" t="str">
        <f>VLOOKUP(Ondergrondscenarios[[#This Row],[VakID '[-']]],DataDijkvakken!A:I,2,FALSE)</f>
        <v>12g</v>
      </c>
      <c r="D266" s="8" t="str">
        <f>GenererenScenarios!$B$3</f>
        <v>P_S1_PL</v>
      </c>
      <c r="E266" s="8" t="str">
        <f>GenererenScenarios!$C$3</f>
        <v>Pleistoceen</v>
      </c>
      <c r="F266" s="26">
        <v>1</v>
      </c>
      <c r="G266" s="29">
        <f>VLOOKUP($C266,DataDijkvakken!$B:$G,2,FALSE)</f>
        <v>-0.19965133333333332</v>
      </c>
      <c r="H266" s="7"/>
      <c r="I266" s="7"/>
      <c r="J266" s="29">
        <v>-8</v>
      </c>
      <c r="K266" s="29">
        <f t="shared" si="30"/>
        <v>7.8003486666666664</v>
      </c>
      <c r="L266" s="7">
        <v>0</v>
      </c>
      <c r="M266" s="29">
        <f>IF(Ondergrondscenarios[[#This Row],[Scenariotype '[-']]]="Tussenzandlaag",0,VLOOKUP($C266,DataDijkvakken[#All],4,FALSE))</f>
        <v>34.5</v>
      </c>
      <c r="N266" s="29">
        <f t="shared" si="31"/>
        <v>34.5</v>
      </c>
      <c r="O266" s="29">
        <f>VLOOKUP($C266,DataDijkvakken!$B:$G,5,FALSE)</f>
        <v>15</v>
      </c>
      <c r="P266" s="29">
        <f>VLOOKUP($C266,DataDijkvakken!$B:$G,6,FALSE)</f>
        <v>37.5</v>
      </c>
      <c r="Q266" s="29">
        <f t="shared" si="32"/>
        <v>37.5</v>
      </c>
      <c r="R266" s="7">
        <v>1293.75</v>
      </c>
      <c r="S266" s="27"/>
      <c r="T266" s="32">
        <f t="shared" si="33"/>
        <v>0</v>
      </c>
      <c r="U266" s="27"/>
      <c r="V266">
        <f t="shared" si="34"/>
        <v>645.03486666666663</v>
      </c>
      <c r="W266" s="31">
        <f t="shared" si="35"/>
        <v>913.51730073929082</v>
      </c>
      <c r="X266" s="33"/>
      <c r="Y266">
        <f>IF(Ondergrondscenarios[[#This Row],[Scenariotype '[-']]]="-","",IF(Ondergrondscenarios[[#This Row],[Scenariotype '[-']]]="Pleistoceen",VLOOKUP(Ondergrondscenarios[[#This Row],[Vaknaam '[-']]],DataDijkvakken[#All],8,FALSE),VLOOKUP(Ondergrondscenarios[[#This Row],[Vaknaam '[-']]],DataDijkvakken[#All],7,FALSE)))</f>
        <v>3.5000000000000005E-4</v>
      </c>
      <c r="Z266">
        <f>VLOOKUP($C266,DataDijkvakken[#All],3,FALSE)</f>
        <v>16</v>
      </c>
      <c r="AA266" s="8"/>
    </row>
    <row r="267" spans="1:27" x14ac:dyDescent="0.3">
      <c r="A267">
        <f>IFERROR(IF(Ondergrondscenarios[[#This Row],[Scenarionaam '[-']]]="","",A266+1),1)</f>
        <v>266</v>
      </c>
      <c r="B267">
        <f>A271/6</f>
        <v>45</v>
      </c>
      <c r="C267" t="str">
        <f>VLOOKUP(Ondergrondscenarios[[#This Row],[VakID '[-']]],DataDijkvakken!A:I,2,FALSE)</f>
        <v>12g</v>
      </c>
      <c r="D267" s="8" t="str">
        <f>GenererenScenarios!$B$4</f>
        <v>P_S2_HL_F</v>
      </c>
      <c r="E267" s="8" t="str">
        <f>GenererenScenarios!$C$4</f>
        <v>Holoceen</v>
      </c>
      <c r="F267" s="26">
        <v>0</v>
      </c>
      <c r="G267" s="29">
        <f>VLOOKUP($C267,DataDijkvakken!$B:$G,2,FALSE)</f>
        <v>-0.19965133333333332</v>
      </c>
      <c r="H267" s="7"/>
      <c r="I267" s="7"/>
      <c r="J267" s="29"/>
      <c r="K267" s="29">
        <f t="shared" si="30"/>
        <v>0</v>
      </c>
      <c r="L267" s="7"/>
      <c r="M267" s="29">
        <f>IF(Ondergrondscenarios[[#This Row],[Scenariotype '[-']]]="Tussenzandlaag",0,VLOOKUP($C267,DataDijkvakken[#All],4,FALSE))</f>
        <v>34.5</v>
      </c>
      <c r="N267" s="29">
        <f t="shared" si="31"/>
        <v>34.5</v>
      </c>
      <c r="O267" s="29">
        <f>VLOOKUP($C267,DataDijkvakken!$B:$G,5,FALSE)</f>
        <v>15</v>
      </c>
      <c r="P267" s="29">
        <f>VLOOKUP($C267,DataDijkvakken!$B:$G,6,FALSE)</f>
        <v>37.5</v>
      </c>
      <c r="Q267" s="29">
        <f t="shared" si="32"/>
        <v>37.5</v>
      </c>
      <c r="R267" s="7">
        <v>1293.75</v>
      </c>
      <c r="S267" s="27"/>
      <c r="T267" s="32">
        <f t="shared" si="33"/>
        <v>0</v>
      </c>
      <c r="U267" s="27"/>
      <c r="V267">
        <f t="shared" si="34"/>
        <v>0</v>
      </c>
      <c r="W267" s="31">
        <f t="shared" si="35"/>
        <v>0</v>
      </c>
      <c r="X267" s="33"/>
      <c r="Y267">
        <f>IF(Ondergrondscenarios[[#This Row],[Scenariotype '[-']]]="-","",IF(Ondergrondscenarios[[#This Row],[Scenariotype '[-']]]="Pleistoceen",VLOOKUP(Ondergrondscenarios[[#This Row],[Vaknaam '[-']]],DataDijkvakken[#All],8,FALSE),VLOOKUP(Ondergrondscenarios[[#This Row],[Vaknaam '[-']]],DataDijkvakken[#All],7,FALSE)))</f>
        <v>2.5999999999999998E-4</v>
      </c>
      <c r="Z267">
        <f>VLOOKUP($C267,DataDijkvakken[#All],3,FALSE)</f>
        <v>16</v>
      </c>
      <c r="AA267" s="8"/>
    </row>
    <row r="268" spans="1:27" x14ac:dyDescent="0.3">
      <c r="A268">
        <f>IFERROR(IF(Ondergrondscenarios[[#This Row],[Scenarionaam '[-']]]="","",A267+1),1)</f>
        <v>267</v>
      </c>
      <c r="B268">
        <f>A271/6</f>
        <v>45</v>
      </c>
      <c r="C268" t="str">
        <f>VLOOKUP(Ondergrondscenarios[[#This Row],[VakID '[-']]],DataDijkvakken!A:I,2,FALSE)</f>
        <v>12g</v>
      </c>
      <c r="D268" s="8" t="str">
        <f>GenererenScenarios!$B$5</f>
        <v>P_S3_HL_TZ</v>
      </c>
      <c r="E268" s="8" t="str">
        <f>GenererenScenarios!$C$5</f>
        <v>Tussenzandlaag</v>
      </c>
      <c r="F268" s="26">
        <v>0</v>
      </c>
      <c r="G268" s="29">
        <f>VLOOKUP($C268,DataDijkvakken!$B:$G,2,FALSE)</f>
        <v>-0.19965133333333332</v>
      </c>
      <c r="H268" s="7"/>
      <c r="I268" s="7"/>
      <c r="J268" s="29"/>
      <c r="K268" s="29">
        <f t="shared" si="30"/>
        <v>0</v>
      </c>
      <c r="L268" s="7"/>
      <c r="M268" s="29">
        <f>IF(Ondergrondscenarios[[#This Row],[Scenariotype '[-']]]="Tussenzandlaag",0,VLOOKUP($C268,DataDijkvakken[#All],4,FALSE))</f>
        <v>0</v>
      </c>
      <c r="N268" s="29">
        <f t="shared" si="31"/>
        <v>0.1</v>
      </c>
      <c r="O268" s="29">
        <f>VLOOKUP($C268,DataDijkvakken!$B:$G,5,FALSE)</f>
        <v>15</v>
      </c>
      <c r="P268" s="29">
        <f>VLOOKUP($C268,DataDijkvakken!$B:$G,6,FALSE)</f>
        <v>37.5</v>
      </c>
      <c r="Q268" s="29">
        <f t="shared" si="32"/>
        <v>0.1</v>
      </c>
      <c r="R268" s="7">
        <v>1.0000000000000002E-2</v>
      </c>
      <c r="S268" s="27"/>
      <c r="T268" s="32">
        <f t="shared" si="33"/>
        <v>0</v>
      </c>
      <c r="U268" s="27"/>
      <c r="V268">
        <f t="shared" si="34"/>
        <v>0</v>
      </c>
      <c r="W268" s="31">
        <f t="shared" si="35"/>
        <v>0</v>
      </c>
      <c r="X268" s="33"/>
      <c r="Y268">
        <f>IF(Ondergrondscenarios[[#This Row],[Scenariotype '[-']]]="-","",IF(Ondergrondscenarios[[#This Row],[Scenariotype '[-']]]="Pleistoceen",VLOOKUP(Ondergrondscenarios[[#This Row],[Vaknaam '[-']]],DataDijkvakken[#All],8,FALSE),VLOOKUP(Ondergrondscenarios[[#This Row],[Vaknaam '[-']]],DataDijkvakken[#All],7,FALSE)))</f>
        <v>2.5999999999999998E-4</v>
      </c>
      <c r="Z268">
        <f>VLOOKUP($C268,DataDijkvakken[#All],3,FALSE)</f>
        <v>16</v>
      </c>
      <c r="AA268" s="8"/>
    </row>
    <row r="269" spans="1:27" x14ac:dyDescent="0.3">
      <c r="A269">
        <f>IFERROR(IF(Ondergrondscenarios[[#This Row],[Scenarionaam '[-']]]="","",A268+1),1)</f>
        <v>268</v>
      </c>
      <c r="B269">
        <f>A271/6</f>
        <v>45</v>
      </c>
      <c r="C269" t="str">
        <f>VLOOKUP(Ondergrondscenarios[[#This Row],[VakID '[-']]],DataDijkvakken!A:I,2,FALSE)</f>
        <v>12g</v>
      </c>
      <c r="D269" s="8" t="str">
        <f>GenererenScenarios!$B$6</f>
        <v>P_S4</v>
      </c>
      <c r="E269" s="8" t="str">
        <f>GenererenScenarios!$C$6</f>
        <v>-</v>
      </c>
      <c r="F269" s="26">
        <v>0</v>
      </c>
      <c r="G269" s="29">
        <f>VLOOKUP($C269,DataDijkvakken!$B:$G,2,FALSE)</f>
        <v>-0.19965133333333332</v>
      </c>
      <c r="H269" s="7"/>
      <c r="I269" s="7"/>
      <c r="J269" s="29"/>
      <c r="K269" s="29">
        <f t="shared" si="30"/>
        <v>0</v>
      </c>
      <c r="L269" s="7"/>
      <c r="M269" s="29">
        <f>IF(Ondergrondscenarios[[#This Row],[Scenariotype '[-']]]="Tussenzandlaag",0,VLOOKUP($C269,DataDijkvakken[#All],4,FALSE))</f>
        <v>34.5</v>
      </c>
      <c r="N269" s="29">
        <f t="shared" si="31"/>
        <v>34.5</v>
      </c>
      <c r="O269" s="29">
        <f>VLOOKUP($C269,DataDijkvakken!$B:$G,5,FALSE)</f>
        <v>15</v>
      </c>
      <c r="P269" s="29">
        <f>VLOOKUP($C269,DataDijkvakken!$B:$G,6,FALSE)</f>
        <v>37.5</v>
      </c>
      <c r="Q269" s="29">
        <f t="shared" si="32"/>
        <v>37.5</v>
      </c>
      <c r="R269" s="7">
        <v>1293.75</v>
      </c>
      <c r="S269" s="27"/>
      <c r="T269" s="32">
        <f t="shared" si="33"/>
        <v>0</v>
      </c>
      <c r="U269" s="27"/>
      <c r="V269">
        <f t="shared" si="34"/>
        <v>0</v>
      </c>
      <c r="W269" s="31">
        <f t="shared" si="35"/>
        <v>0</v>
      </c>
      <c r="X269" s="33"/>
      <c r="Y269" t="str">
        <f>IF(Ondergrondscenarios[[#This Row],[Scenariotype '[-']]]="-","",IF(Ondergrondscenarios[[#This Row],[Scenariotype '[-']]]="Pleistoceen",VLOOKUP(Ondergrondscenarios[[#This Row],[Vaknaam '[-']]],DataDijkvakken[#All],8,FALSE),VLOOKUP(Ondergrondscenarios[[#This Row],[Vaknaam '[-']]],DataDijkvakken[#All],7,FALSE)))</f>
        <v/>
      </c>
      <c r="Z269">
        <f>VLOOKUP($C269,DataDijkvakken[#All],3,FALSE)</f>
        <v>16</v>
      </c>
      <c r="AA269" s="8"/>
    </row>
    <row r="270" spans="1:27" x14ac:dyDescent="0.3">
      <c r="A270">
        <f>IFERROR(IF(Ondergrondscenarios[[#This Row],[Scenarionaam '[-']]]="","",A269+1),1)</f>
        <v>269</v>
      </c>
      <c r="B270">
        <f>A271/6</f>
        <v>45</v>
      </c>
      <c r="C270" t="str">
        <f>VLOOKUP(Ondergrondscenarios[[#This Row],[VakID '[-']]],DataDijkvakken!A:I,2,FALSE)</f>
        <v>12g</v>
      </c>
      <c r="D270" s="8" t="str">
        <f>GenererenScenarios!$B$7</f>
        <v>P_S5</v>
      </c>
      <c r="E270" s="8" t="str">
        <f>GenererenScenarios!$C$7</f>
        <v>-</v>
      </c>
      <c r="F270" s="26">
        <v>0</v>
      </c>
      <c r="G270" s="29">
        <f>VLOOKUP($C270,DataDijkvakken!$B:$G,2,FALSE)</f>
        <v>-0.19965133333333332</v>
      </c>
      <c r="H270" s="7"/>
      <c r="I270" s="7"/>
      <c r="J270" s="29"/>
      <c r="K270" s="29">
        <f t="shared" si="30"/>
        <v>0</v>
      </c>
      <c r="L270" s="7"/>
      <c r="M270" s="29">
        <f>IF(Ondergrondscenarios[[#This Row],[Scenariotype '[-']]]="Tussenzandlaag",0,VLOOKUP($C270,DataDijkvakken[#All],4,FALSE))</f>
        <v>34.5</v>
      </c>
      <c r="N270" s="29">
        <f t="shared" si="31"/>
        <v>34.5</v>
      </c>
      <c r="O270" s="29">
        <f>VLOOKUP($C270,DataDijkvakken!$B:$G,5,FALSE)</f>
        <v>15</v>
      </c>
      <c r="P270" s="29">
        <f>VLOOKUP($C270,DataDijkvakken!$B:$G,6,FALSE)</f>
        <v>37.5</v>
      </c>
      <c r="Q270" s="29">
        <f t="shared" si="32"/>
        <v>37.5</v>
      </c>
      <c r="R270" s="7">
        <v>1293.75</v>
      </c>
      <c r="S270" s="27"/>
      <c r="T270" s="32">
        <f t="shared" si="33"/>
        <v>0</v>
      </c>
      <c r="U270" s="27"/>
      <c r="V270">
        <f t="shared" si="34"/>
        <v>0</v>
      </c>
      <c r="W270" s="31">
        <f t="shared" si="35"/>
        <v>0</v>
      </c>
      <c r="X270" s="33"/>
      <c r="Y270" t="str">
        <f>IF(Ondergrondscenarios[[#This Row],[Scenariotype '[-']]]="-","",IF(Ondergrondscenarios[[#This Row],[Scenariotype '[-']]]="Pleistoceen",VLOOKUP(Ondergrondscenarios[[#This Row],[Vaknaam '[-']]],DataDijkvakken[#All],8,FALSE),VLOOKUP(Ondergrondscenarios[[#This Row],[Vaknaam '[-']]],DataDijkvakken[#All],7,FALSE)))</f>
        <v/>
      </c>
      <c r="Z270">
        <f>VLOOKUP($C270,DataDijkvakken[#All],3,FALSE)</f>
        <v>16</v>
      </c>
      <c r="AA270" s="8"/>
    </row>
    <row r="271" spans="1:27" x14ac:dyDescent="0.3">
      <c r="A271">
        <f>IFERROR(IF(Ondergrondscenarios[[#This Row],[Scenarionaam '[-']]]="","",A270+1),1)</f>
        <v>270</v>
      </c>
      <c r="B271">
        <f>A271/6</f>
        <v>45</v>
      </c>
      <c r="C271" t="str">
        <f>VLOOKUP(Ondergrondscenarios[[#This Row],[VakID '[-']]],DataDijkvakken!A:I,2,FALSE)</f>
        <v>12g</v>
      </c>
      <c r="D271" s="8" t="str">
        <f>GenererenScenarios!$B$8</f>
        <v>P_S6</v>
      </c>
      <c r="E271" s="8" t="str">
        <f>GenererenScenarios!$C$8</f>
        <v>-</v>
      </c>
      <c r="F271" s="26">
        <v>0</v>
      </c>
      <c r="G271" s="29">
        <f>VLOOKUP($C271,DataDijkvakken!$B:$G,2,FALSE)</f>
        <v>-0.19965133333333332</v>
      </c>
      <c r="H271" s="7"/>
      <c r="I271" s="7"/>
      <c r="J271" s="29"/>
      <c r="K271" s="29">
        <f t="shared" si="30"/>
        <v>0</v>
      </c>
      <c r="L271" s="7"/>
      <c r="M271" s="29">
        <f>IF(Ondergrondscenarios[[#This Row],[Scenariotype '[-']]]="Tussenzandlaag",0,VLOOKUP($C271,DataDijkvakken[#All],4,FALSE))</f>
        <v>34.5</v>
      </c>
      <c r="N271" s="29">
        <f t="shared" si="31"/>
        <v>34.5</v>
      </c>
      <c r="O271" s="29">
        <f>VLOOKUP($C271,DataDijkvakken!$B:$G,5,FALSE)</f>
        <v>15</v>
      </c>
      <c r="P271" s="29">
        <f>VLOOKUP($C271,DataDijkvakken!$B:$G,6,FALSE)</f>
        <v>37.5</v>
      </c>
      <c r="Q271" s="29">
        <f t="shared" si="32"/>
        <v>37.5</v>
      </c>
      <c r="R271" s="7">
        <v>1293.75</v>
      </c>
      <c r="S271" s="27"/>
      <c r="T271" s="32">
        <f t="shared" si="33"/>
        <v>0</v>
      </c>
      <c r="U271" s="27"/>
      <c r="V271">
        <f t="shared" si="34"/>
        <v>0</v>
      </c>
      <c r="W271" s="31">
        <f t="shared" si="35"/>
        <v>0</v>
      </c>
      <c r="X271" s="33"/>
      <c r="Y271" t="str">
        <f>IF(Ondergrondscenarios[[#This Row],[Scenariotype '[-']]]="-","",IF(Ondergrondscenarios[[#This Row],[Scenariotype '[-']]]="Pleistoceen",VLOOKUP(Ondergrondscenarios[[#This Row],[Vaknaam '[-']]],DataDijkvakken[#All],8,FALSE),VLOOKUP(Ondergrondscenarios[[#This Row],[Vaknaam '[-']]],DataDijkvakken[#All],7,FALSE)))</f>
        <v/>
      </c>
      <c r="Z271">
        <f>VLOOKUP($C271,DataDijkvakken[#All],3,FALSE)</f>
        <v>16</v>
      </c>
      <c r="AA271" s="8"/>
    </row>
    <row r="272" spans="1:27" x14ac:dyDescent="0.3">
      <c r="A272">
        <f>IFERROR(IF(Ondergrondscenarios[[#This Row],[Scenarionaam '[-']]]="","",A271+1),1)</f>
        <v>271</v>
      </c>
      <c r="B272">
        <f>A277/6</f>
        <v>46</v>
      </c>
      <c r="C272" t="str">
        <f>VLOOKUP(Ondergrondscenarios[[#This Row],[VakID '[-']]],DataDijkvakken!A:I,2,FALSE)</f>
        <v>13a</v>
      </c>
      <c r="D272" s="8" t="str">
        <f>GenererenScenarios!$B$3</f>
        <v>P_S1_PL</v>
      </c>
      <c r="E272" s="8" t="str">
        <f>GenererenScenarios!$C$3</f>
        <v>Pleistoceen</v>
      </c>
      <c r="F272" s="26">
        <v>0.6</v>
      </c>
      <c r="G272" s="29">
        <f>VLOOKUP($C272,DataDijkvakken!$B:$G,2,FALSE)</f>
        <v>-0.50699585714285722</v>
      </c>
      <c r="H272" s="7"/>
      <c r="I272" s="7"/>
      <c r="J272" s="29">
        <v>-8</v>
      </c>
      <c r="K272" s="29">
        <f t="shared" si="30"/>
        <v>7.493004142857143</v>
      </c>
      <c r="L272" s="7">
        <v>0</v>
      </c>
      <c r="M272" s="29">
        <f>IF(Ondergrondscenarios[[#This Row],[Scenariotype '[-']]]="Tussenzandlaag",0,VLOOKUP($C272,DataDijkvakken[#All],4,FALSE))</f>
        <v>34.5</v>
      </c>
      <c r="N272" s="29">
        <f t="shared" si="31"/>
        <v>34.5</v>
      </c>
      <c r="O272" s="29">
        <f>VLOOKUP($C272,DataDijkvakken!$B:$G,5,FALSE)</f>
        <v>15</v>
      </c>
      <c r="P272" s="29">
        <f>VLOOKUP($C272,DataDijkvakken!$B:$G,6,FALSE)</f>
        <v>37.5</v>
      </c>
      <c r="Q272" s="29">
        <f t="shared" si="32"/>
        <v>37.5</v>
      </c>
      <c r="R272" s="7">
        <v>1293.75</v>
      </c>
      <c r="S272" s="27"/>
      <c r="T272" s="32">
        <f t="shared" si="33"/>
        <v>0</v>
      </c>
      <c r="U272" s="27"/>
      <c r="V272">
        <f t="shared" si="34"/>
        <v>614.30041428571428</v>
      </c>
      <c r="W272" s="31">
        <f t="shared" si="35"/>
        <v>891.48817209323806</v>
      </c>
      <c r="X272" s="33"/>
      <c r="Y272">
        <f>IF(Ondergrondscenarios[[#This Row],[Scenariotype '[-']]]="-","",IF(Ondergrondscenarios[[#This Row],[Scenariotype '[-']]]="Pleistoceen",VLOOKUP(Ondergrondscenarios[[#This Row],[Vaknaam '[-']]],DataDijkvakken[#All],8,FALSE),VLOOKUP(Ondergrondscenarios[[#This Row],[Vaknaam '[-']]],DataDijkvakken[#All],7,FALSE)))</f>
        <v>3.5000000000000005E-4</v>
      </c>
      <c r="Z272">
        <f>VLOOKUP($C272,DataDijkvakken[#All],3,FALSE)</f>
        <v>16</v>
      </c>
      <c r="AA272" s="8"/>
    </row>
    <row r="273" spans="1:27" x14ac:dyDescent="0.3">
      <c r="A273">
        <f>IFERROR(IF(Ondergrondscenarios[[#This Row],[Scenarionaam '[-']]]="","",A272+1),1)</f>
        <v>272</v>
      </c>
      <c r="B273">
        <f>A277/6</f>
        <v>46</v>
      </c>
      <c r="C273" t="str">
        <f>VLOOKUP(Ondergrondscenarios[[#This Row],[VakID '[-']]],DataDijkvakken!A:I,2,FALSE)</f>
        <v>13a</v>
      </c>
      <c r="D273" s="8" t="str">
        <f>GenererenScenarios!$B$4</f>
        <v>P_S2_HL_F</v>
      </c>
      <c r="E273" s="8" t="str">
        <f>GenererenScenarios!$C$4</f>
        <v>Holoceen</v>
      </c>
      <c r="F273" s="26">
        <v>0.4</v>
      </c>
      <c r="G273" s="29">
        <f>VLOOKUP($C273,DataDijkvakken!$B:$G,2,FALSE)</f>
        <v>-0.50699585714285722</v>
      </c>
      <c r="H273" s="7"/>
      <c r="I273" s="7"/>
      <c r="J273" s="29">
        <v>-4.5</v>
      </c>
      <c r="K273" s="29">
        <f t="shared" si="30"/>
        <v>3.993004142857143</v>
      </c>
      <c r="L273" s="7">
        <v>3.5</v>
      </c>
      <c r="M273" s="29">
        <f>IF(Ondergrondscenarios[[#This Row],[Scenariotype '[-']]]="Tussenzandlaag",0,VLOOKUP($C273,DataDijkvakken[#All],4,FALSE))</f>
        <v>34.5</v>
      </c>
      <c r="N273" s="29">
        <f t="shared" si="31"/>
        <v>38</v>
      </c>
      <c r="O273" s="29">
        <f>VLOOKUP($C273,DataDijkvakken!$B:$G,5,FALSE)</f>
        <v>15</v>
      </c>
      <c r="P273" s="29">
        <f>VLOOKUP($C273,DataDijkvakken!$B:$G,6,FALSE)</f>
        <v>37.5</v>
      </c>
      <c r="Q273" s="29">
        <f t="shared" si="32"/>
        <v>35.42763157894737</v>
      </c>
      <c r="R273" s="7">
        <v>1346.25</v>
      </c>
      <c r="S273" s="27"/>
      <c r="T273" s="32">
        <f t="shared" si="33"/>
        <v>0</v>
      </c>
      <c r="U273" s="27"/>
      <c r="V273">
        <f t="shared" si="34"/>
        <v>264.30041428571428</v>
      </c>
      <c r="W273" s="31">
        <f t="shared" si="35"/>
        <v>596.50182961340772</v>
      </c>
      <c r="X273" s="33"/>
      <c r="Y273">
        <f>IF(Ondergrondscenarios[[#This Row],[Scenariotype '[-']]]="-","",IF(Ondergrondscenarios[[#This Row],[Scenariotype '[-']]]="Pleistoceen",VLOOKUP(Ondergrondscenarios[[#This Row],[Vaknaam '[-']]],DataDijkvakken[#All],8,FALSE),VLOOKUP(Ondergrondscenarios[[#This Row],[Vaknaam '[-']]],DataDijkvakken[#All],7,FALSE)))</f>
        <v>2.5999999999999998E-4</v>
      </c>
      <c r="Z273">
        <f>VLOOKUP($C273,DataDijkvakken[#All],3,FALSE)</f>
        <v>16</v>
      </c>
      <c r="AA273" s="8"/>
    </row>
    <row r="274" spans="1:27" x14ac:dyDescent="0.3">
      <c r="A274">
        <f>IFERROR(IF(Ondergrondscenarios[[#This Row],[Scenarionaam '[-']]]="","",A273+1),1)</f>
        <v>273</v>
      </c>
      <c r="B274">
        <f>A277/6</f>
        <v>46</v>
      </c>
      <c r="C274" t="str">
        <f>VLOOKUP(Ondergrondscenarios[[#This Row],[VakID '[-']]],DataDijkvakken!A:I,2,FALSE)</f>
        <v>13a</v>
      </c>
      <c r="D274" s="8" t="str">
        <f>GenererenScenarios!$B$5</f>
        <v>P_S3_HL_TZ</v>
      </c>
      <c r="E274" s="8" t="str">
        <f>GenererenScenarios!$C$5</f>
        <v>Tussenzandlaag</v>
      </c>
      <c r="F274" s="26">
        <v>0</v>
      </c>
      <c r="G274" s="29">
        <f>VLOOKUP($C274,DataDijkvakken!$B:$G,2,FALSE)</f>
        <v>-0.50699585714285722</v>
      </c>
      <c r="H274" s="7"/>
      <c r="I274" s="7"/>
      <c r="J274" s="29"/>
      <c r="K274" s="29">
        <f t="shared" si="30"/>
        <v>0</v>
      </c>
      <c r="L274" s="7"/>
      <c r="M274" s="29">
        <f>IF(Ondergrondscenarios[[#This Row],[Scenariotype '[-']]]="Tussenzandlaag",0,VLOOKUP($C274,DataDijkvakken[#All],4,FALSE))</f>
        <v>0</v>
      </c>
      <c r="N274" s="29">
        <f t="shared" si="31"/>
        <v>0.1</v>
      </c>
      <c r="O274" s="29">
        <f>VLOOKUP($C274,DataDijkvakken!$B:$G,5,FALSE)</f>
        <v>15</v>
      </c>
      <c r="P274" s="29">
        <f>VLOOKUP($C274,DataDijkvakken!$B:$G,6,FALSE)</f>
        <v>37.5</v>
      </c>
      <c r="Q274" s="29">
        <f t="shared" si="32"/>
        <v>0.1</v>
      </c>
      <c r="R274" s="7">
        <v>1.0000000000000002E-2</v>
      </c>
      <c r="S274" s="27"/>
      <c r="T274" s="32">
        <f t="shared" si="33"/>
        <v>0</v>
      </c>
      <c r="U274" s="27"/>
      <c r="V274">
        <f t="shared" si="34"/>
        <v>0</v>
      </c>
      <c r="W274" s="31">
        <f t="shared" si="35"/>
        <v>0</v>
      </c>
      <c r="X274" s="33"/>
      <c r="Y274">
        <f>IF(Ondergrondscenarios[[#This Row],[Scenariotype '[-']]]="-","",IF(Ondergrondscenarios[[#This Row],[Scenariotype '[-']]]="Pleistoceen",VLOOKUP(Ondergrondscenarios[[#This Row],[Vaknaam '[-']]],DataDijkvakken[#All],8,FALSE),VLOOKUP(Ondergrondscenarios[[#This Row],[Vaknaam '[-']]],DataDijkvakken[#All],7,FALSE)))</f>
        <v>2.5999999999999998E-4</v>
      </c>
      <c r="Z274">
        <f>VLOOKUP($C274,DataDijkvakken[#All],3,FALSE)</f>
        <v>16</v>
      </c>
      <c r="AA274" s="8"/>
    </row>
    <row r="275" spans="1:27" x14ac:dyDescent="0.3">
      <c r="A275">
        <f>IFERROR(IF(Ondergrondscenarios[[#This Row],[Scenarionaam '[-']]]="","",A274+1),1)</f>
        <v>274</v>
      </c>
      <c r="B275">
        <f>A277/6</f>
        <v>46</v>
      </c>
      <c r="C275" t="str">
        <f>VLOOKUP(Ondergrondscenarios[[#This Row],[VakID '[-']]],DataDijkvakken!A:I,2,FALSE)</f>
        <v>13a</v>
      </c>
      <c r="D275" s="8" t="str">
        <f>GenererenScenarios!$B$6</f>
        <v>P_S4</v>
      </c>
      <c r="E275" s="8" t="str">
        <f>GenererenScenarios!$C$6</f>
        <v>-</v>
      </c>
      <c r="F275" s="26">
        <v>0</v>
      </c>
      <c r="G275" s="29">
        <f>VLOOKUP($C275,DataDijkvakken!$B:$G,2,FALSE)</f>
        <v>-0.50699585714285722</v>
      </c>
      <c r="H275" s="7"/>
      <c r="I275" s="7"/>
      <c r="J275" s="29"/>
      <c r="K275" s="29">
        <f t="shared" si="30"/>
        <v>0</v>
      </c>
      <c r="L275" s="7"/>
      <c r="M275" s="29">
        <f>IF(Ondergrondscenarios[[#This Row],[Scenariotype '[-']]]="Tussenzandlaag",0,VLOOKUP($C275,DataDijkvakken[#All],4,FALSE))</f>
        <v>34.5</v>
      </c>
      <c r="N275" s="29">
        <f t="shared" si="31"/>
        <v>34.5</v>
      </c>
      <c r="O275" s="29">
        <f>VLOOKUP($C275,DataDijkvakken!$B:$G,5,FALSE)</f>
        <v>15</v>
      </c>
      <c r="P275" s="29">
        <f>VLOOKUP($C275,DataDijkvakken!$B:$G,6,FALSE)</f>
        <v>37.5</v>
      </c>
      <c r="Q275" s="29">
        <f t="shared" si="32"/>
        <v>37.5</v>
      </c>
      <c r="R275" s="7">
        <v>1293.75</v>
      </c>
      <c r="S275" s="27"/>
      <c r="T275" s="32">
        <f t="shared" si="33"/>
        <v>0</v>
      </c>
      <c r="U275" s="27"/>
      <c r="V275">
        <f t="shared" si="34"/>
        <v>0</v>
      </c>
      <c r="W275" s="31">
        <f t="shared" si="35"/>
        <v>0</v>
      </c>
      <c r="X275" s="33"/>
      <c r="Y275" t="str">
        <f>IF(Ondergrondscenarios[[#This Row],[Scenariotype '[-']]]="-","",IF(Ondergrondscenarios[[#This Row],[Scenariotype '[-']]]="Pleistoceen",VLOOKUP(Ondergrondscenarios[[#This Row],[Vaknaam '[-']]],DataDijkvakken[#All],8,FALSE),VLOOKUP(Ondergrondscenarios[[#This Row],[Vaknaam '[-']]],DataDijkvakken[#All],7,FALSE)))</f>
        <v/>
      </c>
      <c r="Z275">
        <f>VLOOKUP($C275,DataDijkvakken[#All],3,FALSE)</f>
        <v>16</v>
      </c>
      <c r="AA275" s="8"/>
    </row>
    <row r="276" spans="1:27" x14ac:dyDescent="0.3">
      <c r="A276">
        <f>IFERROR(IF(Ondergrondscenarios[[#This Row],[Scenarionaam '[-']]]="","",A275+1),1)</f>
        <v>275</v>
      </c>
      <c r="B276">
        <f>A277/6</f>
        <v>46</v>
      </c>
      <c r="C276" t="str">
        <f>VLOOKUP(Ondergrondscenarios[[#This Row],[VakID '[-']]],DataDijkvakken!A:I,2,FALSE)</f>
        <v>13a</v>
      </c>
      <c r="D276" s="8" t="str">
        <f>GenererenScenarios!$B$7</f>
        <v>P_S5</v>
      </c>
      <c r="E276" s="8" t="str">
        <f>GenererenScenarios!$C$7</f>
        <v>-</v>
      </c>
      <c r="F276" s="26">
        <v>0</v>
      </c>
      <c r="G276" s="29">
        <f>VLOOKUP($C276,DataDijkvakken!$B:$G,2,FALSE)</f>
        <v>-0.50699585714285722</v>
      </c>
      <c r="H276" s="7"/>
      <c r="I276" s="7"/>
      <c r="J276" s="29"/>
      <c r="K276" s="29">
        <f t="shared" si="30"/>
        <v>0</v>
      </c>
      <c r="L276" s="7"/>
      <c r="M276" s="29">
        <f>IF(Ondergrondscenarios[[#This Row],[Scenariotype '[-']]]="Tussenzandlaag",0,VLOOKUP($C276,DataDijkvakken[#All],4,FALSE))</f>
        <v>34.5</v>
      </c>
      <c r="N276" s="29">
        <f t="shared" si="31"/>
        <v>34.5</v>
      </c>
      <c r="O276" s="29">
        <f>VLOOKUP($C276,DataDijkvakken!$B:$G,5,FALSE)</f>
        <v>15</v>
      </c>
      <c r="P276" s="29">
        <f>VLOOKUP($C276,DataDijkvakken!$B:$G,6,FALSE)</f>
        <v>37.5</v>
      </c>
      <c r="Q276" s="29">
        <f t="shared" si="32"/>
        <v>37.5</v>
      </c>
      <c r="R276" s="7">
        <v>1293.75</v>
      </c>
      <c r="S276" s="27"/>
      <c r="T276" s="32">
        <f t="shared" si="33"/>
        <v>0</v>
      </c>
      <c r="U276" s="27"/>
      <c r="V276">
        <f t="shared" si="34"/>
        <v>0</v>
      </c>
      <c r="W276" s="31">
        <f t="shared" si="35"/>
        <v>0</v>
      </c>
      <c r="X276" s="33"/>
      <c r="Y276" t="str">
        <f>IF(Ondergrondscenarios[[#This Row],[Scenariotype '[-']]]="-","",IF(Ondergrondscenarios[[#This Row],[Scenariotype '[-']]]="Pleistoceen",VLOOKUP(Ondergrondscenarios[[#This Row],[Vaknaam '[-']]],DataDijkvakken[#All],8,FALSE),VLOOKUP(Ondergrondscenarios[[#This Row],[Vaknaam '[-']]],DataDijkvakken[#All],7,FALSE)))</f>
        <v/>
      </c>
      <c r="Z276">
        <f>VLOOKUP($C276,DataDijkvakken[#All],3,FALSE)</f>
        <v>16</v>
      </c>
      <c r="AA276" s="8"/>
    </row>
    <row r="277" spans="1:27" x14ac:dyDescent="0.3">
      <c r="A277">
        <f>IFERROR(IF(Ondergrondscenarios[[#This Row],[Scenarionaam '[-']]]="","",A276+1),1)</f>
        <v>276</v>
      </c>
      <c r="B277">
        <f>A277/6</f>
        <v>46</v>
      </c>
      <c r="C277" t="str">
        <f>VLOOKUP(Ondergrondscenarios[[#This Row],[VakID '[-']]],DataDijkvakken!A:I,2,FALSE)</f>
        <v>13a</v>
      </c>
      <c r="D277" s="8" t="str">
        <f>GenererenScenarios!$B$8</f>
        <v>P_S6</v>
      </c>
      <c r="E277" s="8" t="str">
        <f>GenererenScenarios!$C$8</f>
        <v>-</v>
      </c>
      <c r="F277" s="26">
        <v>0</v>
      </c>
      <c r="G277" s="29">
        <f>VLOOKUP($C277,DataDijkvakken!$B:$G,2,FALSE)</f>
        <v>-0.50699585714285722</v>
      </c>
      <c r="H277" s="7"/>
      <c r="I277" s="7"/>
      <c r="J277" s="29"/>
      <c r="K277" s="29">
        <f t="shared" si="30"/>
        <v>0</v>
      </c>
      <c r="L277" s="7"/>
      <c r="M277" s="29">
        <f>IF(Ondergrondscenarios[[#This Row],[Scenariotype '[-']]]="Tussenzandlaag",0,VLOOKUP($C277,DataDijkvakken[#All],4,FALSE))</f>
        <v>34.5</v>
      </c>
      <c r="N277" s="29">
        <f t="shared" si="31"/>
        <v>34.5</v>
      </c>
      <c r="O277" s="29">
        <f>VLOOKUP($C277,DataDijkvakken!$B:$G,5,FALSE)</f>
        <v>15</v>
      </c>
      <c r="P277" s="29">
        <f>VLOOKUP($C277,DataDijkvakken!$B:$G,6,FALSE)</f>
        <v>37.5</v>
      </c>
      <c r="Q277" s="29">
        <f t="shared" si="32"/>
        <v>37.5</v>
      </c>
      <c r="R277" s="7">
        <v>1293.75</v>
      </c>
      <c r="S277" s="27"/>
      <c r="T277" s="32">
        <f t="shared" si="33"/>
        <v>0</v>
      </c>
      <c r="U277" s="27"/>
      <c r="V277">
        <f t="shared" si="34"/>
        <v>0</v>
      </c>
      <c r="W277" s="31">
        <f t="shared" si="35"/>
        <v>0</v>
      </c>
      <c r="X277" s="33"/>
      <c r="Y277" t="str">
        <f>IF(Ondergrondscenarios[[#This Row],[Scenariotype '[-']]]="-","",IF(Ondergrondscenarios[[#This Row],[Scenariotype '[-']]]="Pleistoceen",VLOOKUP(Ondergrondscenarios[[#This Row],[Vaknaam '[-']]],DataDijkvakken[#All],8,FALSE),VLOOKUP(Ondergrondscenarios[[#This Row],[Vaknaam '[-']]],DataDijkvakken[#All],7,FALSE)))</f>
        <v/>
      </c>
      <c r="Z277">
        <f>VLOOKUP($C277,DataDijkvakken[#All],3,FALSE)</f>
        <v>16</v>
      </c>
      <c r="AA277" s="8"/>
    </row>
    <row r="278" spans="1:27" x14ac:dyDescent="0.3">
      <c r="A278">
        <f>IFERROR(IF(Ondergrondscenarios[[#This Row],[Scenarionaam '[-']]]="","",A277+1),1)</f>
        <v>277</v>
      </c>
      <c r="B278">
        <f>A283/6</f>
        <v>47</v>
      </c>
      <c r="C278" t="str">
        <f>VLOOKUP(Ondergrondscenarios[[#This Row],[VakID '[-']]],DataDijkvakken!A:I,2,FALSE)</f>
        <v>13b</v>
      </c>
      <c r="D278" s="8" t="str">
        <f>GenererenScenarios!$B$3</f>
        <v>P_S1_PL</v>
      </c>
      <c r="E278" s="8" t="str">
        <f>GenererenScenarios!$C$3</f>
        <v>Pleistoceen</v>
      </c>
      <c r="F278" s="26">
        <v>0.6</v>
      </c>
      <c r="G278" s="29">
        <f>VLOOKUP($C278,DataDijkvakken!$B:$G,2,FALSE)</f>
        <v>-0.25145829411764703</v>
      </c>
      <c r="H278" s="7"/>
      <c r="I278" s="7"/>
      <c r="J278" s="29">
        <v>-7.5</v>
      </c>
      <c r="K278" s="29">
        <f t="shared" si="30"/>
        <v>7.2485417058823529</v>
      </c>
      <c r="L278" s="7">
        <v>0</v>
      </c>
      <c r="M278" s="29">
        <f>IF(Ondergrondscenarios[[#This Row],[Scenariotype '[-']]]="Tussenzandlaag",0,VLOOKUP($C278,DataDijkvakken[#All],4,FALSE))</f>
        <v>34.5</v>
      </c>
      <c r="N278" s="29">
        <f t="shared" si="31"/>
        <v>34.5</v>
      </c>
      <c r="O278" s="29">
        <f>VLOOKUP($C278,DataDijkvakken!$B:$G,5,FALSE)</f>
        <v>15</v>
      </c>
      <c r="P278" s="29">
        <f>VLOOKUP($C278,DataDijkvakken!$B:$G,6,FALSE)</f>
        <v>37.5</v>
      </c>
      <c r="Q278" s="29">
        <f t="shared" si="32"/>
        <v>37.5</v>
      </c>
      <c r="R278" s="7">
        <v>1293.75</v>
      </c>
      <c r="S278" s="27"/>
      <c r="T278" s="32">
        <f t="shared" si="33"/>
        <v>0</v>
      </c>
      <c r="U278" s="27"/>
      <c r="V278">
        <f t="shared" si="34"/>
        <v>589.85417058823532</v>
      </c>
      <c r="W278" s="31">
        <f t="shared" si="35"/>
        <v>873.56959264762042</v>
      </c>
      <c r="X278" s="33"/>
      <c r="Y278">
        <f>IF(Ondergrondscenarios[[#This Row],[Scenariotype '[-']]]="-","",IF(Ondergrondscenarios[[#This Row],[Scenariotype '[-']]]="Pleistoceen",VLOOKUP(Ondergrondscenarios[[#This Row],[Vaknaam '[-']]],DataDijkvakken[#All],8,FALSE),VLOOKUP(Ondergrondscenarios[[#This Row],[Vaknaam '[-']]],DataDijkvakken[#All],7,FALSE)))</f>
        <v>3.5000000000000005E-4</v>
      </c>
      <c r="Z278">
        <f>VLOOKUP($C278,DataDijkvakken[#All],3,FALSE)</f>
        <v>16</v>
      </c>
      <c r="AA278" s="8"/>
    </row>
    <row r="279" spans="1:27" x14ac:dyDescent="0.3">
      <c r="A279">
        <f>IFERROR(IF(Ondergrondscenarios[[#This Row],[Scenarionaam '[-']]]="","",A278+1),1)</f>
        <v>278</v>
      </c>
      <c r="B279">
        <f>A283/6</f>
        <v>47</v>
      </c>
      <c r="C279" t="str">
        <f>VLOOKUP(Ondergrondscenarios[[#This Row],[VakID '[-']]],DataDijkvakken!A:I,2,FALSE)</f>
        <v>13b</v>
      </c>
      <c r="D279" s="8" t="str">
        <f>GenererenScenarios!$B$4</f>
        <v>P_S2_HL_F</v>
      </c>
      <c r="E279" s="8" t="str">
        <f>GenererenScenarios!$C$4</f>
        <v>Holoceen</v>
      </c>
      <c r="F279" s="26">
        <v>0.4</v>
      </c>
      <c r="G279" s="29">
        <f>VLOOKUP($C279,DataDijkvakken!$B:$G,2,FALSE)</f>
        <v>-0.25145829411764703</v>
      </c>
      <c r="H279" s="7"/>
      <c r="I279" s="7"/>
      <c r="J279" s="29">
        <v>-4.5</v>
      </c>
      <c r="K279" s="29">
        <f t="shared" si="30"/>
        <v>4.2485417058823529</v>
      </c>
      <c r="L279" s="7">
        <v>3</v>
      </c>
      <c r="M279" s="29">
        <f>IF(Ondergrondscenarios[[#This Row],[Scenariotype '[-']]]="Tussenzandlaag",0,VLOOKUP($C279,DataDijkvakken[#All],4,FALSE))</f>
        <v>34.5</v>
      </c>
      <c r="N279" s="29">
        <f t="shared" si="31"/>
        <v>37.5</v>
      </c>
      <c r="O279" s="29">
        <f>VLOOKUP($C279,DataDijkvakken!$B:$G,5,FALSE)</f>
        <v>15</v>
      </c>
      <c r="P279" s="29">
        <f>VLOOKUP($C279,DataDijkvakken!$B:$G,6,FALSE)</f>
        <v>37.5</v>
      </c>
      <c r="Q279" s="29">
        <f t="shared" si="32"/>
        <v>35.700000000000003</v>
      </c>
      <c r="R279" s="7">
        <v>1338.75</v>
      </c>
      <c r="S279" s="27"/>
      <c r="T279" s="32">
        <f t="shared" si="33"/>
        <v>0</v>
      </c>
      <c r="U279" s="27"/>
      <c r="V279">
        <f t="shared" si="34"/>
        <v>289.85417058823526</v>
      </c>
      <c r="W279" s="31">
        <f t="shared" si="35"/>
        <v>622.93039007179607</v>
      </c>
      <c r="X279" s="33"/>
      <c r="Y279">
        <f>IF(Ondergrondscenarios[[#This Row],[Scenariotype '[-']]]="-","",IF(Ondergrondscenarios[[#This Row],[Scenariotype '[-']]]="Pleistoceen",VLOOKUP(Ondergrondscenarios[[#This Row],[Vaknaam '[-']]],DataDijkvakken[#All],8,FALSE),VLOOKUP(Ondergrondscenarios[[#This Row],[Vaknaam '[-']]],DataDijkvakken[#All],7,FALSE)))</f>
        <v>2.5999999999999998E-4</v>
      </c>
      <c r="Z279">
        <f>VLOOKUP($C279,DataDijkvakken[#All],3,FALSE)</f>
        <v>16</v>
      </c>
      <c r="AA279" s="8"/>
    </row>
    <row r="280" spans="1:27" x14ac:dyDescent="0.3">
      <c r="A280">
        <f>IFERROR(IF(Ondergrondscenarios[[#This Row],[Scenarionaam '[-']]]="","",A279+1),1)</f>
        <v>279</v>
      </c>
      <c r="B280">
        <f>A283/6</f>
        <v>47</v>
      </c>
      <c r="C280" t="str">
        <f>VLOOKUP(Ondergrondscenarios[[#This Row],[VakID '[-']]],DataDijkvakken!A:I,2,FALSE)</f>
        <v>13b</v>
      </c>
      <c r="D280" s="8" t="str">
        <f>GenererenScenarios!$B$5</f>
        <v>P_S3_HL_TZ</v>
      </c>
      <c r="E280" s="8" t="str">
        <f>GenererenScenarios!$C$5</f>
        <v>Tussenzandlaag</v>
      </c>
      <c r="F280" s="26">
        <v>0</v>
      </c>
      <c r="G280" s="29">
        <f>VLOOKUP($C280,DataDijkvakken!$B:$G,2,FALSE)</f>
        <v>-0.25145829411764703</v>
      </c>
      <c r="H280" s="7"/>
      <c r="I280" s="7"/>
      <c r="J280" s="29"/>
      <c r="K280" s="29">
        <f t="shared" si="30"/>
        <v>0</v>
      </c>
      <c r="L280" s="7"/>
      <c r="M280" s="29">
        <f>IF(Ondergrondscenarios[[#This Row],[Scenariotype '[-']]]="Tussenzandlaag",0,VLOOKUP($C280,DataDijkvakken[#All],4,FALSE))</f>
        <v>0</v>
      </c>
      <c r="N280" s="29">
        <f t="shared" si="31"/>
        <v>0.1</v>
      </c>
      <c r="O280" s="29">
        <f>VLOOKUP($C280,DataDijkvakken!$B:$G,5,FALSE)</f>
        <v>15</v>
      </c>
      <c r="P280" s="29">
        <f>VLOOKUP($C280,DataDijkvakken!$B:$G,6,FALSE)</f>
        <v>37.5</v>
      </c>
      <c r="Q280" s="29">
        <f t="shared" si="32"/>
        <v>0.1</v>
      </c>
      <c r="R280" s="7">
        <v>1.0000000000000002E-2</v>
      </c>
      <c r="S280" s="27"/>
      <c r="T280" s="32">
        <f t="shared" si="33"/>
        <v>0</v>
      </c>
      <c r="U280" s="27"/>
      <c r="V280">
        <f t="shared" si="34"/>
        <v>0</v>
      </c>
      <c r="W280" s="31">
        <f t="shared" si="35"/>
        <v>0</v>
      </c>
      <c r="X280" s="33"/>
      <c r="Y280">
        <f>IF(Ondergrondscenarios[[#This Row],[Scenariotype '[-']]]="-","",IF(Ondergrondscenarios[[#This Row],[Scenariotype '[-']]]="Pleistoceen",VLOOKUP(Ondergrondscenarios[[#This Row],[Vaknaam '[-']]],DataDijkvakken[#All],8,FALSE),VLOOKUP(Ondergrondscenarios[[#This Row],[Vaknaam '[-']]],DataDijkvakken[#All],7,FALSE)))</f>
        <v>2.5999999999999998E-4</v>
      </c>
      <c r="Z280">
        <f>VLOOKUP($C280,DataDijkvakken[#All],3,FALSE)</f>
        <v>16</v>
      </c>
      <c r="AA280" s="8"/>
    </row>
    <row r="281" spans="1:27" x14ac:dyDescent="0.3">
      <c r="A281">
        <f>IFERROR(IF(Ondergrondscenarios[[#This Row],[Scenarionaam '[-']]]="","",A280+1),1)</f>
        <v>280</v>
      </c>
      <c r="B281">
        <f>A283/6</f>
        <v>47</v>
      </c>
      <c r="C281" t="str">
        <f>VLOOKUP(Ondergrondscenarios[[#This Row],[VakID '[-']]],DataDijkvakken!A:I,2,FALSE)</f>
        <v>13b</v>
      </c>
      <c r="D281" s="8" t="str">
        <f>GenererenScenarios!$B$6</f>
        <v>P_S4</v>
      </c>
      <c r="E281" s="8" t="str">
        <f>GenererenScenarios!$C$6</f>
        <v>-</v>
      </c>
      <c r="F281" s="26">
        <v>0</v>
      </c>
      <c r="G281" s="29">
        <f>VLOOKUP($C281,DataDijkvakken!$B:$G,2,FALSE)</f>
        <v>-0.25145829411764703</v>
      </c>
      <c r="H281" s="7"/>
      <c r="I281" s="7"/>
      <c r="J281" s="29"/>
      <c r="K281" s="29">
        <f t="shared" si="30"/>
        <v>0</v>
      </c>
      <c r="L281" s="7"/>
      <c r="M281" s="29">
        <f>IF(Ondergrondscenarios[[#This Row],[Scenariotype '[-']]]="Tussenzandlaag",0,VLOOKUP($C281,DataDijkvakken[#All],4,FALSE))</f>
        <v>34.5</v>
      </c>
      <c r="N281" s="29">
        <f t="shared" si="31"/>
        <v>34.5</v>
      </c>
      <c r="O281" s="29">
        <f>VLOOKUP($C281,DataDijkvakken!$B:$G,5,FALSE)</f>
        <v>15</v>
      </c>
      <c r="P281" s="29">
        <f>VLOOKUP($C281,DataDijkvakken!$B:$G,6,FALSE)</f>
        <v>37.5</v>
      </c>
      <c r="Q281" s="29">
        <f t="shared" si="32"/>
        <v>37.5</v>
      </c>
      <c r="R281" s="7">
        <v>1293.75</v>
      </c>
      <c r="S281" s="27"/>
      <c r="T281" s="32">
        <f t="shared" si="33"/>
        <v>0</v>
      </c>
      <c r="U281" s="27"/>
      <c r="V281">
        <f t="shared" si="34"/>
        <v>0</v>
      </c>
      <c r="W281" s="31">
        <f t="shared" si="35"/>
        <v>0</v>
      </c>
      <c r="X281" s="33"/>
      <c r="Y281" t="str">
        <f>IF(Ondergrondscenarios[[#This Row],[Scenariotype '[-']]]="-","",IF(Ondergrondscenarios[[#This Row],[Scenariotype '[-']]]="Pleistoceen",VLOOKUP(Ondergrondscenarios[[#This Row],[Vaknaam '[-']]],DataDijkvakken[#All],8,FALSE),VLOOKUP(Ondergrondscenarios[[#This Row],[Vaknaam '[-']]],DataDijkvakken[#All],7,FALSE)))</f>
        <v/>
      </c>
      <c r="Z281">
        <f>VLOOKUP($C281,DataDijkvakken[#All],3,FALSE)</f>
        <v>16</v>
      </c>
      <c r="AA281" s="8"/>
    </row>
    <row r="282" spans="1:27" x14ac:dyDescent="0.3">
      <c r="A282">
        <f>IFERROR(IF(Ondergrondscenarios[[#This Row],[Scenarionaam '[-']]]="","",A281+1),1)</f>
        <v>281</v>
      </c>
      <c r="B282">
        <f>A283/6</f>
        <v>47</v>
      </c>
      <c r="C282" t="str">
        <f>VLOOKUP(Ondergrondscenarios[[#This Row],[VakID '[-']]],DataDijkvakken!A:I,2,FALSE)</f>
        <v>13b</v>
      </c>
      <c r="D282" s="8" t="str">
        <f>GenererenScenarios!$B$7</f>
        <v>P_S5</v>
      </c>
      <c r="E282" s="8" t="str">
        <f>GenererenScenarios!$C$7</f>
        <v>-</v>
      </c>
      <c r="F282" s="26">
        <v>0</v>
      </c>
      <c r="G282" s="29">
        <f>VLOOKUP($C282,DataDijkvakken!$B:$G,2,FALSE)</f>
        <v>-0.25145829411764703</v>
      </c>
      <c r="H282" s="7"/>
      <c r="I282" s="7"/>
      <c r="J282" s="29"/>
      <c r="K282" s="29">
        <f t="shared" si="30"/>
        <v>0</v>
      </c>
      <c r="L282" s="7"/>
      <c r="M282" s="29">
        <f>IF(Ondergrondscenarios[[#This Row],[Scenariotype '[-']]]="Tussenzandlaag",0,VLOOKUP($C282,DataDijkvakken[#All],4,FALSE))</f>
        <v>34.5</v>
      </c>
      <c r="N282" s="29">
        <f t="shared" si="31"/>
        <v>34.5</v>
      </c>
      <c r="O282" s="29">
        <f>VLOOKUP($C282,DataDijkvakken!$B:$G,5,FALSE)</f>
        <v>15</v>
      </c>
      <c r="P282" s="29">
        <f>VLOOKUP($C282,DataDijkvakken!$B:$G,6,FALSE)</f>
        <v>37.5</v>
      </c>
      <c r="Q282" s="29">
        <f t="shared" si="32"/>
        <v>37.5</v>
      </c>
      <c r="R282" s="7">
        <v>1293.75</v>
      </c>
      <c r="S282" s="27"/>
      <c r="T282" s="32">
        <f t="shared" si="33"/>
        <v>0</v>
      </c>
      <c r="U282" s="27"/>
      <c r="V282">
        <f t="shared" si="34"/>
        <v>0</v>
      </c>
      <c r="W282" s="31">
        <f t="shared" si="35"/>
        <v>0</v>
      </c>
      <c r="X282" s="33"/>
      <c r="Y282" t="str">
        <f>IF(Ondergrondscenarios[[#This Row],[Scenariotype '[-']]]="-","",IF(Ondergrondscenarios[[#This Row],[Scenariotype '[-']]]="Pleistoceen",VLOOKUP(Ondergrondscenarios[[#This Row],[Vaknaam '[-']]],DataDijkvakken[#All],8,FALSE),VLOOKUP(Ondergrondscenarios[[#This Row],[Vaknaam '[-']]],DataDijkvakken[#All],7,FALSE)))</f>
        <v/>
      </c>
      <c r="Z282">
        <f>VLOOKUP($C282,DataDijkvakken[#All],3,FALSE)</f>
        <v>16</v>
      </c>
      <c r="AA282" s="8"/>
    </row>
    <row r="283" spans="1:27" x14ac:dyDescent="0.3">
      <c r="A283">
        <f>IFERROR(IF(Ondergrondscenarios[[#This Row],[Scenarionaam '[-']]]="","",A282+1),1)</f>
        <v>282</v>
      </c>
      <c r="B283">
        <f>A283/6</f>
        <v>47</v>
      </c>
      <c r="C283" t="str">
        <f>VLOOKUP(Ondergrondscenarios[[#This Row],[VakID '[-']]],DataDijkvakken!A:I,2,FALSE)</f>
        <v>13b</v>
      </c>
      <c r="D283" s="8" t="str">
        <f>GenererenScenarios!$B$8</f>
        <v>P_S6</v>
      </c>
      <c r="E283" s="8" t="str">
        <f>GenererenScenarios!$C$8</f>
        <v>-</v>
      </c>
      <c r="F283" s="26">
        <v>0</v>
      </c>
      <c r="G283" s="29">
        <f>VLOOKUP($C283,DataDijkvakken!$B:$G,2,FALSE)</f>
        <v>-0.25145829411764703</v>
      </c>
      <c r="H283" s="7"/>
      <c r="I283" s="7"/>
      <c r="J283" s="29"/>
      <c r="K283" s="29">
        <f t="shared" si="30"/>
        <v>0</v>
      </c>
      <c r="L283" s="7"/>
      <c r="M283" s="29">
        <f>IF(Ondergrondscenarios[[#This Row],[Scenariotype '[-']]]="Tussenzandlaag",0,VLOOKUP($C283,DataDijkvakken[#All],4,FALSE))</f>
        <v>34.5</v>
      </c>
      <c r="N283" s="29">
        <f t="shared" si="31"/>
        <v>34.5</v>
      </c>
      <c r="O283" s="29">
        <f>VLOOKUP($C283,DataDijkvakken!$B:$G,5,FALSE)</f>
        <v>15</v>
      </c>
      <c r="P283" s="29">
        <f>VLOOKUP($C283,DataDijkvakken!$B:$G,6,FALSE)</f>
        <v>37.5</v>
      </c>
      <c r="Q283" s="29">
        <f t="shared" si="32"/>
        <v>37.5</v>
      </c>
      <c r="R283" s="7">
        <v>1293.75</v>
      </c>
      <c r="S283" s="27"/>
      <c r="T283" s="32">
        <f t="shared" si="33"/>
        <v>0</v>
      </c>
      <c r="U283" s="27"/>
      <c r="V283">
        <f t="shared" si="34"/>
        <v>0</v>
      </c>
      <c r="W283" s="31">
        <f t="shared" si="35"/>
        <v>0</v>
      </c>
      <c r="X283" s="33"/>
      <c r="Y283" t="str">
        <f>IF(Ondergrondscenarios[[#This Row],[Scenariotype '[-']]]="-","",IF(Ondergrondscenarios[[#This Row],[Scenariotype '[-']]]="Pleistoceen",VLOOKUP(Ondergrondscenarios[[#This Row],[Vaknaam '[-']]],DataDijkvakken[#All],8,FALSE),VLOOKUP(Ondergrondscenarios[[#This Row],[Vaknaam '[-']]],DataDijkvakken[#All],7,FALSE)))</f>
        <v/>
      </c>
      <c r="Z283">
        <f>VLOOKUP($C283,DataDijkvakken[#All],3,FALSE)</f>
        <v>16</v>
      </c>
      <c r="AA283" s="8"/>
    </row>
    <row r="284" spans="1:27" x14ac:dyDescent="0.3">
      <c r="A284">
        <f>IFERROR(IF(Ondergrondscenarios[[#This Row],[Scenarionaam '[-']]]="","",A283+1),1)</f>
        <v>283</v>
      </c>
      <c r="B284">
        <f>A289/6</f>
        <v>48</v>
      </c>
      <c r="C284" t="str">
        <f>VLOOKUP(Ondergrondscenarios[[#This Row],[VakID '[-']]],DataDijkvakken!A:I,2,FALSE)</f>
        <v>13c</v>
      </c>
      <c r="D284" s="8" t="str">
        <f>GenererenScenarios!$B$3</f>
        <v>P_S1_PL</v>
      </c>
      <c r="E284" s="8" t="str">
        <f>GenererenScenarios!$C$3</f>
        <v>Pleistoceen</v>
      </c>
      <c r="F284" s="26">
        <v>0.2</v>
      </c>
      <c r="G284" s="29">
        <f>VLOOKUP($C284,DataDijkvakken!$B:$G,2,FALSE)</f>
        <v>-0.31077850000000001</v>
      </c>
      <c r="H284" s="7"/>
      <c r="I284" s="7"/>
      <c r="J284" s="29">
        <v>-8.5</v>
      </c>
      <c r="K284" s="29">
        <f t="shared" si="30"/>
        <v>8.1892215000000004</v>
      </c>
      <c r="L284" s="7">
        <v>0</v>
      </c>
      <c r="M284" s="29">
        <f>IF(Ondergrondscenarios[[#This Row],[Scenariotype '[-']]]="Tussenzandlaag",0,VLOOKUP($C284,DataDijkvakken[#All],4,FALSE))</f>
        <v>34.5</v>
      </c>
      <c r="N284" s="29">
        <f t="shared" si="31"/>
        <v>34.5</v>
      </c>
      <c r="O284" s="29">
        <f>VLOOKUP($C284,DataDijkvakken!$B:$G,5,FALSE)</f>
        <v>15</v>
      </c>
      <c r="P284" s="29">
        <f>VLOOKUP($C284,DataDijkvakken!$B:$G,6,FALSE)</f>
        <v>37.5</v>
      </c>
      <c r="Q284" s="29">
        <f t="shared" si="32"/>
        <v>37.5</v>
      </c>
      <c r="R284" s="7">
        <v>1293.75</v>
      </c>
      <c r="S284" s="27"/>
      <c r="T284" s="32">
        <f t="shared" si="33"/>
        <v>0</v>
      </c>
      <c r="U284" s="27"/>
      <c r="V284">
        <f t="shared" si="34"/>
        <v>683.92214999999999</v>
      </c>
      <c r="W284" s="31">
        <f t="shared" si="35"/>
        <v>940.65098817919704</v>
      </c>
      <c r="X284" s="33"/>
      <c r="Y284">
        <f>IF(Ondergrondscenarios[[#This Row],[Scenariotype '[-']]]="-","",IF(Ondergrondscenarios[[#This Row],[Scenariotype '[-']]]="Pleistoceen",VLOOKUP(Ondergrondscenarios[[#This Row],[Vaknaam '[-']]],DataDijkvakken[#All],8,FALSE),VLOOKUP(Ondergrondscenarios[[#This Row],[Vaknaam '[-']]],DataDijkvakken[#All],7,FALSE)))</f>
        <v>3.5000000000000005E-4</v>
      </c>
      <c r="Z284">
        <f>VLOOKUP($C284,DataDijkvakken[#All],3,FALSE)</f>
        <v>16</v>
      </c>
      <c r="AA284" s="8"/>
    </row>
    <row r="285" spans="1:27" x14ac:dyDescent="0.3">
      <c r="A285">
        <f>IFERROR(IF(Ondergrondscenarios[[#This Row],[Scenarionaam '[-']]]="","",A284+1),1)</f>
        <v>284</v>
      </c>
      <c r="B285">
        <f>A289/6</f>
        <v>48</v>
      </c>
      <c r="C285" t="str">
        <f>VLOOKUP(Ondergrondscenarios[[#This Row],[VakID '[-']]],DataDijkvakken!A:I,2,FALSE)</f>
        <v>13c</v>
      </c>
      <c r="D285" s="8" t="str">
        <f>GenererenScenarios!$B$4</f>
        <v>P_S2_HL_F</v>
      </c>
      <c r="E285" s="8" t="str">
        <f>GenererenScenarios!$C$4</f>
        <v>Holoceen</v>
      </c>
      <c r="F285" s="26">
        <v>0.3</v>
      </c>
      <c r="G285" s="29">
        <f>VLOOKUP($C285,DataDijkvakken!$B:$G,2,FALSE)</f>
        <v>-0.31077850000000001</v>
      </c>
      <c r="H285" s="7"/>
      <c r="I285" s="7"/>
      <c r="J285" s="29">
        <v>-3.2</v>
      </c>
      <c r="K285" s="29">
        <f t="shared" si="30"/>
        <v>2.8892215000000001</v>
      </c>
      <c r="L285" s="7">
        <v>5</v>
      </c>
      <c r="M285" s="29">
        <f>IF(Ondergrondscenarios[[#This Row],[Scenariotype '[-']]]="Tussenzandlaag",0,VLOOKUP($C285,DataDijkvakken[#All],4,FALSE))</f>
        <v>34.5</v>
      </c>
      <c r="N285" s="29">
        <f t="shared" si="31"/>
        <v>39.5</v>
      </c>
      <c r="O285" s="29">
        <f>VLOOKUP($C285,DataDijkvakken!$B:$G,5,FALSE)</f>
        <v>15</v>
      </c>
      <c r="P285" s="29">
        <f>VLOOKUP($C285,DataDijkvakken!$B:$G,6,FALSE)</f>
        <v>37.5</v>
      </c>
      <c r="Q285" s="29">
        <f t="shared" si="32"/>
        <v>34.651898734177216</v>
      </c>
      <c r="R285" s="7">
        <v>1368.75</v>
      </c>
      <c r="S285" s="27"/>
      <c r="T285" s="32">
        <f t="shared" si="33"/>
        <v>0</v>
      </c>
      <c r="U285" s="27"/>
      <c r="V285">
        <f t="shared" si="34"/>
        <v>153.92215000000002</v>
      </c>
      <c r="W285" s="31">
        <f t="shared" si="35"/>
        <v>458.99993770424419</v>
      </c>
      <c r="X285" s="33"/>
      <c r="Y285">
        <f>IF(Ondergrondscenarios[[#This Row],[Scenariotype '[-']]]="-","",IF(Ondergrondscenarios[[#This Row],[Scenariotype '[-']]]="Pleistoceen",VLOOKUP(Ondergrondscenarios[[#This Row],[Vaknaam '[-']]],DataDijkvakken[#All],8,FALSE),VLOOKUP(Ondergrondscenarios[[#This Row],[Vaknaam '[-']]],DataDijkvakken[#All],7,FALSE)))</f>
        <v>2.5999999999999998E-4</v>
      </c>
      <c r="Z285">
        <f>VLOOKUP($C285,DataDijkvakken[#All],3,FALSE)</f>
        <v>16</v>
      </c>
      <c r="AA285" s="8"/>
    </row>
    <row r="286" spans="1:27" x14ac:dyDescent="0.3">
      <c r="A286">
        <f>IFERROR(IF(Ondergrondscenarios[[#This Row],[Scenarionaam '[-']]]="","",A285+1),1)</f>
        <v>285</v>
      </c>
      <c r="B286">
        <f>A289/6</f>
        <v>48</v>
      </c>
      <c r="C286" t="str">
        <f>VLOOKUP(Ondergrondscenarios[[#This Row],[VakID '[-']]],DataDijkvakken!A:I,2,FALSE)</f>
        <v>13c</v>
      </c>
      <c r="D286" s="8" t="str">
        <f>GenererenScenarios!$B$5</f>
        <v>P_S3_HL_TZ</v>
      </c>
      <c r="E286" s="8" t="str">
        <f>GenererenScenarios!$C$5</f>
        <v>Tussenzandlaag</v>
      </c>
      <c r="F286" s="26">
        <v>0.3</v>
      </c>
      <c r="G286" s="29">
        <f>VLOOKUP($C286,DataDijkvakken!$B:$G,2,FALSE)</f>
        <v>-0.31077850000000001</v>
      </c>
      <c r="H286" s="7"/>
      <c r="I286" s="7"/>
      <c r="J286" s="29">
        <v>-4.5</v>
      </c>
      <c r="K286" s="29">
        <f t="shared" si="30"/>
        <v>4.1892215000000004</v>
      </c>
      <c r="L286" s="7">
        <v>3</v>
      </c>
      <c r="M286" s="29">
        <f>IF(Ondergrondscenarios[[#This Row],[Scenariotype '[-']]]="Tussenzandlaag",0,VLOOKUP($C286,DataDijkvakken[#All],4,FALSE))</f>
        <v>0</v>
      </c>
      <c r="N286" s="29">
        <f t="shared" si="31"/>
        <v>3</v>
      </c>
      <c r="O286" s="29">
        <f>VLOOKUP($C286,DataDijkvakken!$B:$G,5,FALSE)</f>
        <v>15</v>
      </c>
      <c r="P286" s="29">
        <f>VLOOKUP($C286,DataDijkvakken!$B:$G,6,FALSE)</f>
        <v>37.5</v>
      </c>
      <c r="Q286" s="29">
        <f t="shared" si="32"/>
        <v>15</v>
      </c>
      <c r="R286" s="7">
        <v>45</v>
      </c>
      <c r="S286" s="27"/>
      <c r="T286" s="32">
        <f t="shared" si="33"/>
        <v>0</v>
      </c>
      <c r="U286" s="27"/>
      <c r="V286">
        <f t="shared" si="34"/>
        <v>283.92215000000004</v>
      </c>
      <c r="W286" s="31">
        <f t="shared" si="35"/>
        <v>113.03316659281913</v>
      </c>
      <c r="X286" s="33"/>
      <c r="Y286">
        <f>IF(Ondergrondscenarios[[#This Row],[Scenariotype '[-']]]="-","",IF(Ondergrondscenarios[[#This Row],[Scenariotype '[-']]]="Pleistoceen",VLOOKUP(Ondergrondscenarios[[#This Row],[Vaknaam '[-']]],DataDijkvakken[#All],8,FALSE),VLOOKUP(Ondergrondscenarios[[#This Row],[Vaknaam '[-']]],DataDijkvakken[#All],7,FALSE)))</f>
        <v>2.5999999999999998E-4</v>
      </c>
      <c r="Z286">
        <f>VLOOKUP($C286,DataDijkvakken[#All],3,FALSE)</f>
        <v>16</v>
      </c>
      <c r="AA286" s="8"/>
    </row>
    <row r="287" spans="1:27" x14ac:dyDescent="0.3">
      <c r="A287">
        <f>IFERROR(IF(Ondergrondscenarios[[#This Row],[Scenarionaam '[-']]]="","",A286+1),1)</f>
        <v>286</v>
      </c>
      <c r="B287">
        <f>A289/6</f>
        <v>48</v>
      </c>
      <c r="C287" t="str">
        <f>VLOOKUP(Ondergrondscenarios[[#This Row],[VakID '[-']]],DataDijkvakken!A:I,2,FALSE)</f>
        <v>13c</v>
      </c>
      <c r="D287" s="8" t="str">
        <f>GenererenScenarios!$B$6</f>
        <v>P_S4</v>
      </c>
      <c r="E287" s="8" t="str">
        <f>GenererenScenarios!$C$6</f>
        <v>-</v>
      </c>
      <c r="F287" s="26">
        <v>0.2</v>
      </c>
      <c r="G287" s="29">
        <f>VLOOKUP($C287,DataDijkvakken!$B:$G,2,FALSE)</f>
        <v>-0.31077850000000001</v>
      </c>
      <c r="H287" s="7"/>
      <c r="I287" s="7"/>
      <c r="J287" s="29">
        <v>-11</v>
      </c>
      <c r="K287" s="29">
        <f t="shared" si="30"/>
        <v>10.6892215</v>
      </c>
      <c r="L287" s="7">
        <v>0</v>
      </c>
      <c r="M287" s="29">
        <f>IF(Ondergrondscenarios[[#This Row],[Scenariotype '[-']]]="Tussenzandlaag",0,VLOOKUP($C287,DataDijkvakken[#All],4,FALSE))</f>
        <v>34.5</v>
      </c>
      <c r="N287" s="29">
        <f t="shared" si="31"/>
        <v>34.5</v>
      </c>
      <c r="O287" s="29">
        <f>VLOOKUP($C287,DataDijkvakken!$B:$G,5,FALSE)</f>
        <v>15</v>
      </c>
      <c r="P287" s="29">
        <f>VLOOKUP($C287,DataDijkvakken!$B:$G,6,FALSE)</f>
        <v>37.5</v>
      </c>
      <c r="Q287" s="29">
        <f t="shared" si="32"/>
        <v>37.5</v>
      </c>
      <c r="R287" s="7">
        <v>1293.75</v>
      </c>
      <c r="S287" s="27"/>
      <c r="T287" s="32">
        <f t="shared" si="33"/>
        <v>0</v>
      </c>
      <c r="U287" s="27"/>
      <c r="V287">
        <f t="shared" si="34"/>
        <v>933.92214999999999</v>
      </c>
      <c r="W287" s="31">
        <f t="shared" si="35"/>
        <v>1099.2096167531013</v>
      </c>
      <c r="X287" s="33"/>
      <c r="Y287" t="str">
        <f>IF(Ondergrondscenarios[[#This Row],[Scenariotype '[-']]]="-","",IF(Ondergrondscenarios[[#This Row],[Scenariotype '[-']]]="Pleistoceen",VLOOKUP(Ondergrondscenarios[[#This Row],[Vaknaam '[-']]],DataDijkvakken[#All],8,FALSE),VLOOKUP(Ondergrondscenarios[[#This Row],[Vaknaam '[-']]],DataDijkvakken[#All],7,FALSE)))</f>
        <v/>
      </c>
      <c r="Z287">
        <f>VLOOKUP($C287,DataDijkvakken[#All],3,FALSE)</f>
        <v>16</v>
      </c>
      <c r="AA287" s="8"/>
    </row>
    <row r="288" spans="1:27" x14ac:dyDescent="0.3">
      <c r="A288">
        <f>IFERROR(IF(Ondergrondscenarios[[#This Row],[Scenarionaam '[-']]]="","",A287+1),1)</f>
        <v>287</v>
      </c>
      <c r="B288">
        <f>A289/6</f>
        <v>48</v>
      </c>
      <c r="C288" t="str">
        <f>VLOOKUP(Ondergrondscenarios[[#This Row],[VakID '[-']]],DataDijkvakken!A:I,2,FALSE)</f>
        <v>13c</v>
      </c>
      <c r="D288" s="8" t="str">
        <f>GenererenScenarios!$B$7</f>
        <v>P_S5</v>
      </c>
      <c r="E288" s="8" t="str">
        <f>GenererenScenarios!$C$7</f>
        <v>-</v>
      </c>
      <c r="F288" s="26">
        <v>0</v>
      </c>
      <c r="G288" s="29">
        <f>VLOOKUP($C288,DataDijkvakken!$B:$G,2,FALSE)</f>
        <v>-0.31077850000000001</v>
      </c>
      <c r="H288" s="7"/>
      <c r="I288" s="7"/>
      <c r="J288" s="29"/>
      <c r="K288" s="29">
        <f t="shared" si="30"/>
        <v>0</v>
      </c>
      <c r="L288" s="7"/>
      <c r="M288" s="29">
        <f>IF(Ondergrondscenarios[[#This Row],[Scenariotype '[-']]]="Tussenzandlaag",0,VLOOKUP($C288,DataDijkvakken[#All],4,FALSE))</f>
        <v>34.5</v>
      </c>
      <c r="N288" s="29">
        <f t="shared" si="31"/>
        <v>34.5</v>
      </c>
      <c r="O288" s="29">
        <f>VLOOKUP($C288,DataDijkvakken!$B:$G,5,FALSE)</f>
        <v>15</v>
      </c>
      <c r="P288" s="29">
        <f>VLOOKUP($C288,DataDijkvakken!$B:$G,6,FALSE)</f>
        <v>37.5</v>
      </c>
      <c r="Q288" s="29">
        <f t="shared" si="32"/>
        <v>37.5</v>
      </c>
      <c r="R288" s="7">
        <v>1293.75</v>
      </c>
      <c r="S288" s="27"/>
      <c r="T288" s="32">
        <f t="shared" si="33"/>
        <v>0</v>
      </c>
      <c r="U288" s="27"/>
      <c r="V288">
        <f t="shared" si="34"/>
        <v>0</v>
      </c>
      <c r="W288" s="31">
        <f t="shared" si="35"/>
        <v>0</v>
      </c>
      <c r="X288" s="33"/>
      <c r="Y288" t="str">
        <f>IF(Ondergrondscenarios[[#This Row],[Scenariotype '[-']]]="-","",IF(Ondergrondscenarios[[#This Row],[Scenariotype '[-']]]="Pleistoceen",VLOOKUP(Ondergrondscenarios[[#This Row],[Vaknaam '[-']]],DataDijkvakken[#All],8,FALSE),VLOOKUP(Ondergrondscenarios[[#This Row],[Vaknaam '[-']]],DataDijkvakken[#All],7,FALSE)))</f>
        <v/>
      </c>
      <c r="Z288">
        <f>VLOOKUP($C288,DataDijkvakken[#All],3,FALSE)</f>
        <v>16</v>
      </c>
      <c r="AA288" s="8"/>
    </row>
    <row r="289" spans="1:27" x14ac:dyDescent="0.3">
      <c r="A289">
        <f>IFERROR(IF(Ondergrondscenarios[[#This Row],[Scenarionaam '[-']]]="","",A288+1),1)</f>
        <v>288</v>
      </c>
      <c r="B289">
        <f>A289/6</f>
        <v>48</v>
      </c>
      <c r="C289" t="str">
        <f>VLOOKUP(Ondergrondscenarios[[#This Row],[VakID '[-']]],DataDijkvakken!A:I,2,FALSE)</f>
        <v>13c</v>
      </c>
      <c r="D289" s="8" t="str">
        <f>GenererenScenarios!$B$8</f>
        <v>P_S6</v>
      </c>
      <c r="E289" s="8" t="str">
        <f>GenererenScenarios!$C$8</f>
        <v>-</v>
      </c>
      <c r="F289" s="26">
        <v>0</v>
      </c>
      <c r="G289" s="29">
        <f>VLOOKUP($C289,DataDijkvakken!$B:$G,2,FALSE)</f>
        <v>-0.31077850000000001</v>
      </c>
      <c r="H289" s="7"/>
      <c r="I289" s="7"/>
      <c r="J289" s="29"/>
      <c r="K289" s="29">
        <f t="shared" si="30"/>
        <v>0</v>
      </c>
      <c r="L289" s="7"/>
      <c r="M289" s="29">
        <f>IF(Ondergrondscenarios[[#This Row],[Scenariotype '[-']]]="Tussenzandlaag",0,VLOOKUP($C289,DataDijkvakken[#All],4,FALSE))</f>
        <v>34.5</v>
      </c>
      <c r="N289" s="29">
        <f t="shared" si="31"/>
        <v>34.5</v>
      </c>
      <c r="O289" s="29">
        <f>VLOOKUP($C289,DataDijkvakken!$B:$G,5,FALSE)</f>
        <v>15</v>
      </c>
      <c r="P289" s="29">
        <f>VLOOKUP($C289,DataDijkvakken!$B:$G,6,FALSE)</f>
        <v>37.5</v>
      </c>
      <c r="Q289" s="29">
        <f t="shared" si="32"/>
        <v>37.5</v>
      </c>
      <c r="R289" s="7">
        <v>1293.75</v>
      </c>
      <c r="S289" s="27"/>
      <c r="T289" s="32">
        <f t="shared" si="33"/>
        <v>0</v>
      </c>
      <c r="U289" s="27"/>
      <c r="V289">
        <f t="shared" si="34"/>
        <v>0</v>
      </c>
      <c r="W289" s="31">
        <f t="shared" si="35"/>
        <v>0</v>
      </c>
      <c r="X289" s="33"/>
      <c r="Y289" t="str">
        <f>IF(Ondergrondscenarios[[#This Row],[Scenariotype '[-']]]="-","",IF(Ondergrondscenarios[[#This Row],[Scenariotype '[-']]]="Pleistoceen",VLOOKUP(Ondergrondscenarios[[#This Row],[Vaknaam '[-']]],DataDijkvakken[#All],8,FALSE),VLOOKUP(Ondergrondscenarios[[#This Row],[Vaknaam '[-']]],DataDijkvakken[#All],7,FALSE)))</f>
        <v/>
      </c>
      <c r="Z289">
        <f>VLOOKUP($C289,DataDijkvakken[#All],3,FALSE)</f>
        <v>16</v>
      </c>
      <c r="AA289" s="8"/>
    </row>
    <row r="290" spans="1:27" x14ac:dyDescent="0.3">
      <c r="A290">
        <f>IFERROR(IF(Ondergrondscenarios[[#This Row],[Scenarionaam '[-']]]="","",A289+1),1)</f>
        <v>289</v>
      </c>
      <c r="B290">
        <f>A295/6</f>
        <v>49</v>
      </c>
      <c r="C290" t="str">
        <f>VLOOKUP(Ondergrondscenarios[[#This Row],[VakID '[-']]],DataDijkvakken!A:I,2,FALSE)</f>
        <v>13d</v>
      </c>
      <c r="D290" s="8" t="str">
        <f>GenererenScenarios!$B$3</f>
        <v>P_S1_PL</v>
      </c>
      <c r="E290" s="8" t="str">
        <f>GenererenScenarios!$C$3</f>
        <v>Pleistoceen</v>
      </c>
      <c r="F290" s="26">
        <v>0.2</v>
      </c>
      <c r="G290" s="29">
        <f>VLOOKUP($C290,DataDijkvakken!$B:$G,2,FALSE)</f>
        <v>1.385989125</v>
      </c>
      <c r="H290" s="7"/>
      <c r="I290" s="7"/>
      <c r="J290" s="29">
        <v>-9</v>
      </c>
      <c r="K290" s="29">
        <f t="shared" si="30"/>
        <v>10.385989125</v>
      </c>
      <c r="L290" s="7">
        <v>0</v>
      </c>
      <c r="M290" s="29">
        <f>IF(Ondergrondscenarios[[#This Row],[Scenariotype '[-']]]="Tussenzandlaag",0,VLOOKUP($C290,DataDijkvakken[#All],4,FALSE))</f>
        <v>34.5</v>
      </c>
      <c r="N290" s="29">
        <f t="shared" si="31"/>
        <v>34.5</v>
      </c>
      <c r="O290" s="29">
        <f>VLOOKUP($C290,DataDijkvakken!$B:$G,5,FALSE)</f>
        <v>15</v>
      </c>
      <c r="P290" s="29">
        <f>VLOOKUP($C290,DataDijkvakken!$B:$G,6,FALSE)</f>
        <v>37.5</v>
      </c>
      <c r="Q290" s="29">
        <f t="shared" si="32"/>
        <v>37.5</v>
      </c>
      <c r="R290" s="7">
        <v>1293.75</v>
      </c>
      <c r="S290" s="27"/>
      <c r="T290" s="32">
        <f t="shared" si="33"/>
        <v>0</v>
      </c>
      <c r="U290" s="27"/>
      <c r="V290">
        <f t="shared" si="34"/>
        <v>903.59891249999998</v>
      </c>
      <c r="W290" s="31">
        <f t="shared" si="35"/>
        <v>1081.2174124785797</v>
      </c>
      <c r="X290" s="33"/>
      <c r="Y290">
        <f>IF(Ondergrondscenarios[[#This Row],[Scenariotype '[-']]]="-","",IF(Ondergrondscenarios[[#This Row],[Scenariotype '[-']]]="Pleistoceen",VLOOKUP(Ondergrondscenarios[[#This Row],[Vaknaam '[-']]],DataDijkvakken[#All],8,FALSE),VLOOKUP(Ondergrondscenarios[[#This Row],[Vaknaam '[-']]],DataDijkvakken[#All],7,FALSE)))</f>
        <v>3.5000000000000005E-4</v>
      </c>
      <c r="Z290">
        <f>VLOOKUP($C290,DataDijkvakken[#All],3,FALSE)</f>
        <v>16</v>
      </c>
      <c r="AA290" s="8"/>
    </row>
    <row r="291" spans="1:27" x14ac:dyDescent="0.3">
      <c r="A291">
        <f>IFERROR(IF(Ondergrondscenarios[[#This Row],[Scenarionaam '[-']]]="","",A290+1),1)</f>
        <v>290</v>
      </c>
      <c r="B291">
        <f>A295/6</f>
        <v>49</v>
      </c>
      <c r="C291" t="str">
        <f>VLOOKUP(Ondergrondscenarios[[#This Row],[VakID '[-']]],DataDijkvakken!A:I,2,FALSE)</f>
        <v>13d</v>
      </c>
      <c r="D291" s="8" t="str">
        <f>GenererenScenarios!$B$4</f>
        <v>P_S2_HL_F</v>
      </c>
      <c r="E291" s="8" t="str">
        <f>GenererenScenarios!$C$4</f>
        <v>Holoceen</v>
      </c>
      <c r="F291" s="26">
        <v>0.3</v>
      </c>
      <c r="G291" s="29">
        <f>VLOOKUP($C291,DataDijkvakken!$B:$G,2,FALSE)</f>
        <v>1.385989125</v>
      </c>
      <c r="H291" s="7"/>
      <c r="I291" s="7"/>
      <c r="J291" s="29">
        <v>-2</v>
      </c>
      <c r="K291" s="29">
        <f t="shared" si="30"/>
        <v>3.385989125</v>
      </c>
      <c r="L291" s="7">
        <v>7</v>
      </c>
      <c r="M291" s="29">
        <f>IF(Ondergrondscenarios[[#This Row],[Scenariotype '[-']]]="Tussenzandlaag",0,VLOOKUP($C291,DataDijkvakken[#All],4,FALSE))</f>
        <v>34.5</v>
      </c>
      <c r="N291" s="29">
        <f t="shared" si="31"/>
        <v>41.5</v>
      </c>
      <c r="O291" s="29">
        <f>VLOOKUP($C291,DataDijkvakken!$B:$G,5,FALSE)</f>
        <v>15</v>
      </c>
      <c r="P291" s="29">
        <f>VLOOKUP($C291,DataDijkvakken!$B:$G,6,FALSE)</f>
        <v>37.5</v>
      </c>
      <c r="Q291" s="29">
        <f t="shared" si="32"/>
        <v>33.704819277108435</v>
      </c>
      <c r="R291" s="7">
        <v>1398.75</v>
      </c>
      <c r="S291" s="27"/>
      <c r="T291" s="32">
        <f t="shared" si="33"/>
        <v>0</v>
      </c>
      <c r="U291" s="27"/>
      <c r="V291">
        <f t="shared" si="34"/>
        <v>203.59891250000001</v>
      </c>
      <c r="W291" s="31">
        <f t="shared" si="35"/>
        <v>533.65155191320764</v>
      </c>
      <c r="X291" s="33"/>
      <c r="Y291">
        <f>IF(Ondergrondscenarios[[#This Row],[Scenariotype '[-']]]="-","",IF(Ondergrondscenarios[[#This Row],[Scenariotype '[-']]]="Pleistoceen",VLOOKUP(Ondergrondscenarios[[#This Row],[Vaknaam '[-']]],DataDijkvakken[#All],8,FALSE),VLOOKUP(Ondergrondscenarios[[#This Row],[Vaknaam '[-']]],DataDijkvakken[#All],7,FALSE)))</f>
        <v>2.5999999999999998E-4</v>
      </c>
      <c r="Z291">
        <f>VLOOKUP($C291,DataDijkvakken[#All],3,FALSE)</f>
        <v>16</v>
      </c>
      <c r="AA291" s="8"/>
    </row>
    <row r="292" spans="1:27" x14ac:dyDescent="0.3">
      <c r="A292">
        <f>IFERROR(IF(Ondergrondscenarios[[#This Row],[Scenarionaam '[-']]]="","",A291+1),1)</f>
        <v>291</v>
      </c>
      <c r="B292">
        <f>A295/6</f>
        <v>49</v>
      </c>
      <c r="C292" t="str">
        <f>VLOOKUP(Ondergrondscenarios[[#This Row],[VakID '[-']]],DataDijkvakken!A:I,2,FALSE)</f>
        <v>13d</v>
      </c>
      <c r="D292" s="8" t="str">
        <f>GenererenScenarios!$B$5</f>
        <v>P_S3_HL_TZ</v>
      </c>
      <c r="E292" s="8" t="str">
        <f>GenererenScenarios!$C$5</f>
        <v>Tussenzandlaag</v>
      </c>
      <c r="F292" s="26">
        <v>0.3</v>
      </c>
      <c r="G292" s="29">
        <f>VLOOKUP($C292,DataDijkvakken!$B:$G,2,FALSE)</f>
        <v>1.385989125</v>
      </c>
      <c r="H292" s="7"/>
      <c r="I292" s="7"/>
      <c r="J292" s="29">
        <v>-5</v>
      </c>
      <c r="K292" s="29">
        <f t="shared" si="30"/>
        <v>6.385989125</v>
      </c>
      <c r="L292" s="7">
        <v>3</v>
      </c>
      <c r="M292" s="29">
        <f>IF(Ondergrondscenarios[[#This Row],[Scenariotype '[-']]]="Tussenzandlaag",0,VLOOKUP($C292,DataDijkvakken[#All],4,FALSE))</f>
        <v>0</v>
      </c>
      <c r="N292" s="29">
        <f t="shared" si="31"/>
        <v>3</v>
      </c>
      <c r="O292" s="29">
        <f>VLOOKUP($C292,DataDijkvakken!$B:$G,5,FALSE)</f>
        <v>15</v>
      </c>
      <c r="P292" s="29">
        <f>VLOOKUP($C292,DataDijkvakken!$B:$G,6,FALSE)</f>
        <v>37.5</v>
      </c>
      <c r="Q292" s="29">
        <f t="shared" si="32"/>
        <v>15</v>
      </c>
      <c r="R292" s="7">
        <v>45</v>
      </c>
      <c r="S292" s="27"/>
      <c r="T292" s="32">
        <f t="shared" si="33"/>
        <v>0</v>
      </c>
      <c r="U292" s="27"/>
      <c r="V292">
        <f t="shared" si="34"/>
        <v>503.59891249999998</v>
      </c>
      <c r="W292" s="31">
        <f t="shared" si="35"/>
        <v>150.53886894254254</v>
      </c>
      <c r="X292" s="33"/>
      <c r="Y292">
        <f>IF(Ondergrondscenarios[[#This Row],[Scenariotype '[-']]]="-","",IF(Ondergrondscenarios[[#This Row],[Scenariotype '[-']]]="Pleistoceen",VLOOKUP(Ondergrondscenarios[[#This Row],[Vaknaam '[-']]],DataDijkvakken[#All],8,FALSE),VLOOKUP(Ondergrondscenarios[[#This Row],[Vaknaam '[-']]],DataDijkvakken[#All],7,FALSE)))</f>
        <v>2.5999999999999998E-4</v>
      </c>
      <c r="Z292">
        <f>VLOOKUP($C292,DataDijkvakken[#All],3,FALSE)</f>
        <v>16</v>
      </c>
      <c r="AA292" s="8"/>
    </row>
    <row r="293" spans="1:27" x14ac:dyDescent="0.3">
      <c r="A293">
        <f>IFERROR(IF(Ondergrondscenarios[[#This Row],[Scenarionaam '[-']]]="","",A292+1),1)</f>
        <v>292</v>
      </c>
      <c r="B293">
        <f>A295/6</f>
        <v>49</v>
      </c>
      <c r="C293" t="str">
        <f>VLOOKUP(Ondergrondscenarios[[#This Row],[VakID '[-']]],DataDijkvakken!A:I,2,FALSE)</f>
        <v>13d</v>
      </c>
      <c r="D293" s="8" t="str">
        <f>GenererenScenarios!$B$6</f>
        <v>P_S4</v>
      </c>
      <c r="E293" s="8" t="str">
        <f>GenererenScenarios!$C$6</f>
        <v>-</v>
      </c>
      <c r="F293" s="26">
        <v>0.2</v>
      </c>
      <c r="G293" s="29">
        <f>VLOOKUP($C293,DataDijkvakken!$B:$G,2,FALSE)</f>
        <v>1.385989125</v>
      </c>
      <c r="H293" s="7"/>
      <c r="I293" s="7"/>
      <c r="J293" s="29">
        <v>-11.5</v>
      </c>
      <c r="K293" s="29">
        <f t="shared" si="30"/>
        <v>12.885989125</v>
      </c>
      <c r="L293" s="7">
        <v>0</v>
      </c>
      <c r="M293" s="29">
        <f>IF(Ondergrondscenarios[[#This Row],[Scenariotype '[-']]]="Tussenzandlaag",0,VLOOKUP($C293,DataDijkvakken[#All],4,FALSE))</f>
        <v>34.5</v>
      </c>
      <c r="N293" s="29">
        <f t="shared" si="31"/>
        <v>34.5</v>
      </c>
      <c r="O293" s="29">
        <f>VLOOKUP($C293,DataDijkvakken!$B:$G,5,FALSE)</f>
        <v>15</v>
      </c>
      <c r="P293" s="29">
        <f>VLOOKUP($C293,DataDijkvakken!$B:$G,6,FALSE)</f>
        <v>37.5</v>
      </c>
      <c r="Q293" s="29">
        <f t="shared" si="32"/>
        <v>37.5</v>
      </c>
      <c r="R293" s="7">
        <v>1293.75</v>
      </c>
      <c r="S293" s="27"/>
      <c r="T293" s="32">
        <f t="shared" si="33"/>
        <v>0</v>
      </c>
      <c r="U293" s="27"/>
      <c r="V293">
        <f t="shared" si="34"/>
        <v>1153.5989124999999</v>
      </c>
      <c r="W293" s="31">
        <f t="shared" si="35"/>
        <v>1221.6663182092213</v>
      </c>
      <c r="X293" s="33"/>
      <c r="Y293" t="str">
        <f>IF(Ondergrondscenarios[[#This Row],[Scenariotype '[-']]]="-","",IF(Ondergrondscenarios[[#This Row],[Scenariotype '[-']]]="Pleistoceen",VLOOKUP(Ondergrondscenarios[[#This Row],[Vaknaam '[-']]],DataDijkvakken[#All],8,FALSE),VLOOKUP(Ondergrondscenarios[[#This Row],[Vaknaam '[-']]],DataDijkvakken[#All],7,FALSE)))</f>
        <v/>
      </c>
      <c r="Z293">
        <f>VLOOKUP($C293,DataDijkvakken[#All],3,FALSE)</f>
        <v>16</v>
      </c>
      <c r="AA293" s="8"/>
    </row>
    <row r="294" spans="1:27" x14ac:dyDescent="0.3">
      <c r="A294">
        <f>IFERROR(IF(Ondergrondscenarios[[#This Row],[Scenarionaam '[-']]]="","",A293+1),1)</f>
        <v>293</v>
      </c>
      <c r="B294">
        <f>A295/6</f>
        <v>49</v>
      </c>
      <c r="C294" t="str">
        <f>VLOOKUP(Ondergrondscenarios[[#This Row],[VakID '[-']]],DataDijkvakken!A:I,2,FALSE)</f>
        <v>13d</v>
      </c>
      <c r="D294" s="8" t="str">
        <f>GenererenScenarios!$B$7</f>
        <v>P_S5</v>
      </c>
      <c r="E294" s="8" t="str">
        <f>GenererenScenarios!$C$7</f>
        <v>-</v>
      </c>
      <c r="F294" s="26">
        <v>0</v>
      </c>
      <c r="G294" s="29">
        <f>VLOOKUP($C294,DataDijkvakken!$B:$G,2,FALSE)</f>
        <v>1.385989125</v>
      </c>
      <c r="H294" s="7"/>
      <c r="I294" s="7"/>
      <c r="J294" s="29"/>
      <c r="K294" s="29">
        <f t="shared" si="30"/>
        <v>1.385989125</v>
      </c>
      <c r="L294" s="7"/>
      <c r="M294" s="29">
        <f>IF(Ondergrondscenarios[[#This Row],[Scenariotype '[-']]]="Tussenzandlaag",0,VLOOKUP($C294,DataDijkvakken[#All],4,FALSE))</f>
        <v>34.5</v>
      </c>
      <c r="N294" s="29">
        <f t="shared" si="31"/>
        <v>34.5</v>
      </c>
      <c r="O294" s="29">
        <f>VLOOKUP($C294,DataDijkvakken!$B:$G,5,FALSE)</f>
        <v>15</v>
      </c>
      <c r="P294" s="29">
        <f>VLOOKUP($C294,DataDijkvakken!$B:$G,6,FALSE)</f>
        <v>37.5</v>
      </c>
      <c r="Q294" s="29">
        <f t="shared" si="32"/>
        <v>37.5</v>
      </c>
      <c r="R294" s="7">
        <v>1293.75</v>
      </c>
      <c r="S294" s="27"/>
      <c r="T294" s="32">
        <f t="shared" si="33"/>
        <v>0</v>
      </c>
      <c r="U294" s="27"/>
      <c r="V294">
        <f t="shared" si="34"/>
        <v>13.85989125</v>
      </c>
      <c r="W294" s="31">
        <f t="shared" si="35"/>
        <v>133.90755880340549</v>
      </c>
      <c r="X294" s="33"/>
      <c r="Y294" t="str">
        <f>IF(Ondergrondscenarios[[#This Row],[Scenariotype '[-']]]="-","",IF(Ondergrondscenarios[[#This Row],[Scenariotype '[-']]]="Pleistoceen",VLOOKUP(Ondergrondscenarios[[#This Row],[Vaknaam '[-']]],DataDijkvakken[#All],8,FALSE),VLOOKUP(Ondergrondscenarios[[#This Row],[Vaknaam '[-']]],DataDijkvakken[#All],7,FALSE)))</f>
        <v/>
      </c>
      <c r="Z294">
        <f>VLOOKUP($C294,DataDijkvakken[#All],3,FALSE)</f>
        <v>16</v>
      </c>
      <c r="AA294" s="8"/>
    </row>
    <row r="295" spans="1:27" x14ac:dyDescent="0.3">
      <c r="A295">
        <f>IFERROR(IF(Ondergrondscenarios[[#This Row],[Scenarionaam '[-']]]="","",A294+1),1)</f>
        <v>294</v>
      </c>
      <c r="B295">
        <f>A295/6</f>
        <v>49</v>
      </c>
      <c r="C295" t="str">
        <f>VLOOKUP(Ondergrondscenarios[[#This Row],[VakID '[-']]],DataDijkvakken!A:I,2,FALSE)</f>
        <v>13d</v>
      </c>
      <c r="D295" s="8" t="str">
        <f>GenererenScenarios!$B$8</f>
        <v>P_S6</v>
      </c>
      <c r="E295" s="8" t="str">
        <f>GenererenScenarios!$C$8</f>
        <v>-</v>
      </c>
      <c r="F295" s="26">
        <v>0</v>
      </c>
      <c r="G295" s="29">
        <f>VLOOKUP($C295,DataDijkvakken!$B:$G,2,FALSE)</f>
        <v>1.385989125</v>
      </c>
      <c r="H295" s="7"/>
      <c r="I295" s="7"/>
      <c r="J295" s="29"/>
      <c r="K295" s="29">
        <f t="shared" si="30"/>
        <v>1.385989125</v>
      </c>
      <c r="L295" s="7"/>
      <c r="M295" s="29">
        <f>IF(Ondergrondscenarios[[#This Row],[Scenariotype '[-']]]="Tussenzandlaag",0,VLOOKUP($C295,DataDijkvakken[#All],4,FALSE))</f>
        <v>34.5</v>
      </c>
      <c r="N295" s="29">
        <f t="shared" si="31"/>
        <v>34.5</v>
      </c>
      <c r="O295" s="29">
        <f>VLOOKUP($C295,DataDijkvakken!$B:$G,5,FALSE)</f>
        <v>15</v>
      </c>
      <c r="P295" s="29">
        <f>VLOOKUP($C295,DataDijkvakken!$B:$G,6,FALSE)</f>
        <v>37.5</v>
      </c>
      <c r="Q295" s="29">
        <f t="shared" si="32"/>
        <v>37.5</v>
      </c>
      <c r="R295" s="7">
        <v>1293.75</v>
      </c>
      <c r="S295" s="27"/>
      <c r="T295" s="32">
        <f t="shared" si="33"/>
        <v>0</v>
      </c>
      <c r="U295" s="27"/>
      <c r="V295">
        <f t="shared" si="34"/>
        <v>13.85989125</v>
      </c>
      <c r="W295" s="31">
        <f t="shared" si="35"/>
        <v>133.90755880340549</v>
      </c>
      <c r="X295" s="33"/>
      <c r="Y295" t="str">
        <f>IF(Ondergrondscenarios[[#This Row],[Scenariotype '[-']]]="-","",IF(Ondergrondscenarios[[#This Row],[Scenariotype '[-']]]="Pleistoceen",VLOOKUP(Ondergrondscenarios[[#This Row],[Vaknaam '[-']]],DataDijkvakken[#All],8,FALSE),VLOOKUP(Ondergrondscenarios[[#This Row],[Vaknaam '[-']]],DataDijkvakken[#All],7,FALSE)))</f>
        <v/>
      </c>
      <c r="Z295">
        <f>VLOOKUP($C295,DataDijkvakken[#All],3,FALSE)</f>
        <v>16</v>
      </c>
      <c r="AA295" s="8"/>
    </row>
    <row r="296" spans="1:27" x14ac:dyDescent="0.3">
      <c r="A296">
        <f>IFERROR(IF(Ondergrondscenarios[[#This Row],[Scenarionaam '[-']]]="","",A295+1),1)</f>
        <v>295</v>
      </c>
      <c r="B296">
        <f>A301/6</f>
        <v>50</v>
      </c>
      <c r="C296" t="str">
        <f>VLOOKUP(Ondergrondscenarios[[#This Row],[VakID '[-']]],DataDijkvakken!A:I,2,FALSE)</f>
        <v>14a</v>
      </c>
      <c r="D296" s="8" t="str">
        <f>GenererenScenarios!$B$3</f>
        <v>P_S1_PL</v>
      </c>
      <c r="E296" s="8" t="str">
        <f>GenererenScenarios!$C$3</f>
        <v>Pleistoceen</v>
      </c>
      <c r="F296" s="26">
        <v>0</v>
      </c>
      <c r="G296" s="29">
        <f>VLOOKUP($C296,DataDijkvakken!$B:$G,2,FALSE)</f>
        <v>0.95884066666666667</v>
      </c>
      <c r="H296" s="7"/>
      <c r="I296" s="7"/>
      <c r="J296" s="29"/>
      <c r="K296" s="29">
        <f t="shared" si="30"/>
        <v>0.95884066666666667</v>
      </c>
      <c r="L296" s="7"/>
      <c r="M296" s="29">
        <f>IF(Ondergrondscenarios[[#This Row],[Scenariotype '[-']]]="Tussenzandlaag",0,VLOOKUP($C296,DataDijkvakken[#All],4,FALSE))</f>
        <v>34.5</v>
      </c>
      <c r="N296" s="29">
        <f t="shared" si="31"/>
        <v>34.5</v>
      </c>
      <c r="O296" s="29">
        <f>VLOOKUP($C296,DataDijkvakken!$B:$G,5,FALSE)</f>
        <v>15</v>
      </c>
      <c r="P296" s="29">
        <f>VLOOKUP($C296,DataDijkvakken!$B:$G,6,FALSE)</f>
        <v>37.5</v>
      </c>
      <c r="Q296" s="29">
        <f t="shared" si="32"/>
        <v>37.5</v>
      </c>
      <c r="R296" s="7">
        <v>1293.75</v>
      </c>
      <c r="S296" s="27"/>
      <c r="T296" s="32">
        <f t="shared" si="33"/>
        <v>0</v>
      </c>
      <c r="U296" s="27"/>
      <c r="V296">
        <f t="shared" si="34"/>
        <v>9.5884066666666659</v>
      </c>
      <c r="W296" s="31">
        <f t="shared" si="35"/>
        <v>111.37774070701919</v>
      </c>
      <c r="X296" s="33"/>
      <c r="Y296">
        <f>IF(Ondergrondscenarios[[#This Row],[Scenariotype '[-']]]="-","",IF(Ondergrondscenarios[[#This Row],[Scenariotype '[-']]]="Pleistoceen",VLOOKUP(Ondergrondscenarios[[#This Row],[Vaknaam '[-']]],DataDijkvakken[#All],8,FALSE),VLOOKUP(Ondergrondscenarios[[#This Row],[Vaknaam '[-']]],DataDijkvakken[#All],7,FALSE)))</f>
        <v>3.5000000000000005E-4</v>
      </c>
      <c r="Z296">
        <f>VLOOKUP($C296,DataDijkvakken[#All],3,FALSE)</f>
        <v>16</v>
      </c>
      <c r="AA296" s="8"/>
    </row>
    <row r="297" spans="1:27" x14ac:dyDescent="0.3">
      <c r="A297">
        <f>IFERROR(IF(Ondergrondscenarios[[#This Row],[Scenarionaam '[-']]]="","",A296+1),1)</f>
        <v>296</v>
      </c>
      <c r="B297">
        <f>A301/6</f>
        <v>50</v>
      </c>
      <c r="C297" t="str">
        <f>VLOOKUP(Ondergrondscenarios[[#This Row],[VakID '[-']]],DataDijkvakken!A:I,2,FALSE)</f>
        <v>14a</v>
      </c>
      <c r="D297" s="8" t="str">
        <f>GenererenScenarios!$B$4</f>
        <v>P_S2_HL_F</v>
      </c>
      <c r="E297" s="8" t="str">
        <f>GenererenScenarios!$C$4</f>
        <v>Holoceen</v>
      </c>
      <c r="F297" s="26">
        <v>1</v>
      </c>
      <c r="G297" s="29">
        <f>VLOOKUP($C297,DataDijkvakken!$B:$G,2,FALSE)</f>
        <v>0.95884066666666667</v>
      </c>
      <c r="H297" s="7"/>
      <c r="I297" s="7"/>
      <c r="J297" s="29">
        <v>0</v>
      </c>
      <c r="K297" s="29">
        <f t="shared" si="30"/>
        <v>0.95884066666666667</v>
      </c>
      <c r="L297" s="7">
        <v>10.5</v>
      </c>
      <c r="M297" s="29">
        <f>IF(Ondergrondscenarios[[#This Row],[Scenariotype '[-']]]="Tussenzandlaag",0,VLOOKUP($C297,DataDijkvakken[#All],4,FALSE))</f>
        <v>34.5</v>
      </c>
      <c r="N297" s="29">
        <f t="shared" si="31"/>
        <v>45</v>
      </c>
      <c r="O297" s="29">
        <f>VLOOKUP($C297,DataDijkvakken!$B:$G,5,FALSE)</f>
        <v>15</v>
      </c>
      <c r="P297" s="29">
        <f>VLOOKUP($C297,DataDijkvakken!$B:$G,6,FALSE)</f>
        <v>37.5</v>
      </c>
      <c r="Q297" s="29">
        <f t="shared" si="32"/>
        <v>32.25</v>
      </c>
      <c r="R297" s="7">
        <v>1451.25</v>
      </c>
      <c r="S297" s="27"/>
      <c r="T297" s="32">
        <f t="shared" si="33"/>
        <v>0</v>
      </c>
      <c r="U297" s="27"/>
      <c r="V297">
        <f t="shared" si="34"/>
        <v>9.5884066666666659</v>
      </c>
      <c r="W297" s="31">
        <f t="shared" si="35"/>
        <v>117.96260074701642</v>
      </c>
      <c r="X297" s="33"/>
      <c r="Y297">
        <f>IF(Ondergrondscenarios[[#This Row],[Scenariotype '[-']]]="-","",IF(Ondergrondscenarios[[#This Row],[Scenariotype '[-']]]="Pleistoceen",VLOOKUP(Ondergrondscenarios[[#This Row],[Vaknaam '[-']]],DataDijkvakken[#All],8,FALSE),VLOOKUP(Ondergrondscenarios[[#This Row],[Vaknaam '[-']]],DataDijkvakken[#All],7,FALSE)))</f>
        <v>2.5999999999999998E-4</v>
      </c>
      <c r="Z297">
        <f>VLOOKUP($C297,DataDijkvakken[#All],3,FALSE)</f>
        <v>16</v>
      </c>
      <c r="AA297" s="8"/>
    </row>
    <row r="298" spans="1:27" x14ac:dyDescent="0.3">
      <c r="A298">
        <f>IFERROR(IF(Ondergrondscenarios[[#This Row],[Scenarionaam '[-']]]="","",A297+1),1)</f>
        <v>297</v>
      </c>
      <c r="B298">
        <f>A301/6</f>
        <v>50</v>
      </c>
      <c r="C298" t="str">
        <f>VLOOKUP(Ondergrondscenarios[[#This Row],[VakID '[-']]],DataDijkvakken!A:I,2,FALSE)</f>
        <v>14a</v>
      </c>
      <c r="D298" s="8" t="str">
        <f>GenererenScenarios!$B$5</f>
        <v>P_S3_HL_TZ</v>
      </c>
      <c r="E298" s="8" t="str">
        <f>GenererenScenarios!$C$5</f>
        <v>Tussenzandlaag</v>
      </c>
      <c r="F298" s="26">
        <v>0</v>
      </c>
      <c r="G298" s="29">
        <f>VLOOKUP($C298,DataDijkvakken!$B:$G,2,FALSE)</f>
        <v>0.95884066666666667</v>
      </c>
      <c r="H298" s="7"/>
      <c r="I298" s="7"/>
      <c r="J298" s="29"/>
      <c r="K298" s="29">
        <f t="shared" si="30"/>
        <v>0.95884066666666667</v>
      </c>
      <c r="L298" s="7"/>
      <c r="M298" s="29">
        <f>IF(Ondergrondscenarios[[#This Row],[Scenariotype '[-']]]="Tussenzandlaag",0,VLOOKUP($C298,DataDijkvakken[#All],4,FALSE))</f>
        <v>0</v>
      </c>
      <c r="N298" s="29">
        <f t="shared" si="31"/>
        <v>0.1</v>
      </c>
      <c r="O298" s="29">
        <f>VLOOKUP($C298,DataDijkvakken!$B:$G,5,FALSE)</f>
        <v>15</v>
      </c>
      <c r="P298" s="29">
        <f>VLOOKUP($C298,DataDijkvakken!$B:$G,6,FALSE)</f>
        <v>37.5</v>
      </c>
      <c r="Q298" s="29">
        <f t="shared" si="32"/>
        <v>0.1</v>
      </c>
      <c r="R298" s="7">
        <v>1.0000000000000002E-2</v>
      </c>
      <c r="S298" s="27"/>
      <c r="T298" s="32">
        <f t="shared" si="33"/>
        <v>0</v>
      </c>
      <c r="U298" s="27"/>
      <c r="V298">
        <f t="shared" si="34"/>
        <v>9.5884066666666659</v>
      </c>
      <c r="W298" s="31">
        <f t="shared" si="35"/>
        <v>0.30965152456699885</v>
      </c>
      <c r="X298" s="33"/>
      <c r="Y298">
        <f>IF(Ondergrondscenarios[[#This Row],[Scenariotype '[-']]]="-","",IF(Ondergrondscenarios[[#This Row],[Scenariotype '[-']]]="Pleistoceen",VLOOKUP(Ondergrondscenarios[[#This Row],[Vaknaam '[-']]],DataDijkvakken[#All],8,FALSE),VLOOKUP(Ondergrondscenarios[[#This Row],[Vaknaam '[-']]],DataDijkvakken[#All],7,FALSE)))</f>
        <v>2.5999999999999998E-4</v>
      </c>
      <c r="Z298">
        <f>VLOOKUP($C298,DataDijkvakken[#All],3,FALSE)</f>
        <v>16</v>
      </c>
      <c r="AA298" s="8"/>
    </row>
    <row r="299" spans="1:27" x14ac:dyDescent="0.3">
      <c r="A299">
        <f>IFERROR(IF(Ondergrondscenarios[[#This Row],[Scenarionaam '[-']]]="","",A298+1),1)</f>
        <v>298</v>
      </c>
      <c r="B299">
        <f>A301/6</f>
        <v>50</v>
      </c>
      <c r="C299" t="str">
        <f>VLOOKUP(Ondergrondscenarios[[#This Row],[VakID '[-']]],DataDijkvakken!A:I,2,FALSE)</f>
        <v>14a</v>
      </c>
      <c r="D299" s="8" t="str">
        <f>GenererenScenarios!$B$6</f>
        <v>P_S4</v>
      </c>
      <c r="E299" s="8" t="str">
        <f>GenererenScenarios!$C$6</f>
        <v>-</v>
      </c>
      <c r="F299" s="26">
        <v>0</v>
      </c>
      <c r="G299" s="29">
        <f>VLOOKUP($C299,DataDijkvakken!$B:$G,2,FALSE)</f>
        <v>0.95884066666666667</v>
      </c>
      <c r="H299" s="7"/>
      <c r="I299" s="7"/>
      <c r="J299" s="29"/>
      <c r="K299" s="29">
        <f t="shared" si="30"/>
        <v>0.95884066666666667</v>
      </c>
      <c r="L299" s="7"/>
      <c r="M299" s="29">
        <f>IF(Ondergrondscenarios[[#This Row],[Scenariotype '[-']]]="Tussenzandlaag",0,VLOOKUP($C299,DataDijkvakken[#All],4,FALSE))</f>
        <v>34.5</v>
      </c>
      <c r="N299" s="29">
        <f t="shared" si="31"/>
        <v>34.5</v>
      </c>
      <c r="O299" s="29">
        <f>VLOOKUP($C299,DataDijkvakken!$B:$G,5,FALSE)</f>
        <v>15</v>
      </c>
      <c r="P299" s="29">
        <f>VLOOKUP($C299,DataDijkvakken!$B:$G,6,FALSE)</f>
        <v>37.5</v>
      </c>
      <c r="Q299" s="29">
        <f t="shared" si="32"/>
        <v>37.5</v>
      </c>
      <c r="R299" s="7">
        <v>1293.75</v>
      </c>
      <c r="S299" s="27"/>
      <c r="T299" s="32">
        <f t="shared" si="33"/>
        <v>0</v>
      </c>
      <c r="U299" s="27"/>
      <c r="V299">
        <f t="shared" si="34"/>
        <v>9.5884066666666659</v>
      </c>
      <c r="W299" s="31">
        <f t="shared" si="35"/>
        <v>111.37774070701919</v>
      </c>
      <c r="X299" s="33"/>
      <c r="Y299" t="str">
        <f>IF(Ondergrondscenarios[[#This Row],[Scenariotype '[-']]]="-","",IF(Ondergrondscenarios[[#This Row],[Scenariotype '[-']]]="Pleistoceen",VLOOKUP(Ondergrondscenarios[[#This Row],[Vaknaam '[-']]],DataDijkvakken[#All],8,FALSE),VLOOKUP(Ondergrondscenarios[[#This Row],[Vaknaam '[-']]],DataDijkvakken[#All],7,FALSE)))</f>
        <v/>
      </c>
      <c r="Z299">
        <f>VLOOKUP($C299,DataDijkvakken[#All],3,FALSE)</f>
        <v>16</v>
      </c>
      <c r="AA299" s="8"/>
    </row>
    <row r="300" spans="1:27" x14ac:dyDescent="0.3">
      <c r="A300">
        <f>IFERROR(IF(Ondergrondscenarios[[#This Row],[Scenarionaam '[-']]]="","",A299+1),1)</f>
        <v>299</v>
      </c>
      <c r="B300">
        <f>A301/6</f>
        <v>50</v>
      </c>
      <c r="C300" t="str">
        <f>VLOOKUP(Ondergrondscenarios[[#This Row],[VakID '[-']]],DataDijkvakken!A:I,2,FALSE)</f>
        <v>14a</v>
      </c>
      <c r="D300" s="8" t="str">
        <f>GenererenScenarios!$B$7</f>
        <v>P_S5</v>
      </c>
      <c r="E300" s="8" t="str">
        <f>GenererenScenarios!$C$7</f>
        <v>-</v>
      </c>
      <c r="F300" s="26">
        <v>0</v>
      </c>
      <c r="G300" s="29">
        <f>VLOOKUP($C300,DataDijkvakken!$B:$G,2,FALSE)</f>
        <v>0.95884066666666667</v>
      </c>
      <c r="H300" s="7"/>
      <c r="I300" s="7"/>
      <c r="J300" s="29"/>
      <c r="K300" s="29">
        <f t="shared" si="30"/>
        <v>0.95884066666666667</v>
      </c>
      <c r="L300" s="7"/>
      <c r="M300" s="29">
        <f>IF(Ondergrondscenarios[[#This Row],[Scenariotype '[-']]]="Tussenzandlaag",0,VLOOKUP($C300,DataDijkvakken[#All],4,FALSE))</f>
        <v>34.5</v>
      </c>
      <c r="N300" s="29">
        <f t="shared" si="31"/>
        <v>34.5</v>
      </c>
      <c r="O300" s="29">
        <f>VLOOKUP($C300,DataDijkvakken!$B:$G,5,FALSE)</f>
        <v>15</v>
      </c>
      <c r="P300" s="29">
        <f>VLOOKUP($C300,DataDijkvakken!$B:$G,6,FALSE)</f>
        <v>37.5</v>
      </c>
      <c r="Q300" s="29">
        <f t="shared" si="32"/>
        <v>37.5</v>
      </c>
      <c r="R300" s="7">
        <v>1293.75</v>
      </c>
      <c r="S300" s="27"/>
      <c r="T300" s="32">
        <f t="shared" si="33"/>
        <v>0</v>
      </c>
      <c r="U300" s="27"/>
      <c r="V300">
        <f t="shared" si="34"/>
        <v>9.5884066666666659</v>
      </c>
      <c r="W300" s="31">
        <f t="shared" si="35"/>
        <v>111.37774070701919</v>
      </c>
      <c r="X300" s="33"/>
      <c r="Y300" t="str">
        <f>IF(Ondergrondscenarios[[#This Row],[Scenariotype '[-']]]="-","",IF(Ondergrondscenarios[[#This Row],[Scenariotype '[-']]]="Pleistoceen",VLOOKUP(Ondergrondscenarios[[#This Row],[Vaknaam '[-']]],DataDijkvakken[#All],8,FALSE),VLOOKUP(Ondergrondscenarios[[#This Row],[Vaknaam '[-']]],DataDijkvakken[#All],7,FALSE)))</f>
        <v/>
      </c>
      <c r="Z300">
        <f>VLOOKUP($C300,DataDijkvakken[#All],3,FALSE)</f>
        <v>16</v>
      </c>
      <c r="AA300" s="8"/>
    </row>
    <row r="301" spans="1:27" x14ac:dyDescent="0.3">
      <c r="A301">
        <f>IFERROR(IF(Ondergrondscenarios[[#This Row],[Scenarionaam '[-']]]="","",A300+1),1)</f>
        <v>300</v>
      </c>
      <c r="B301">
        <f>A301/6</f>
        <v>50</v>
      </c>
      <c r="C301" t="str">
        <f>VLOOKUP(Ondergrondscenarios[[#This Row],[VakID '[-']]],DataDijkvakken!A:I,2,FALSE)</f>
        <v>14a</v>
      </c>
      <c r="D301" s="8" t="str">
        <f>GenererenScenarios!$B$8</f>
        <v>P_S6</v>
      </c>
      <c r="E301" s="8" t="str">
        <f>GenererenScenarios!$C$8</f>
        <v>-</v>
      </c>
      <c r="F301" s="26">
        <v>0</v>
      </c>
      <c r="G301" s="29">
        <f>VLOOKUP($C301,DataDijkvakken!$B:$G,2,FALSE)</f>
        <v>0.95884066666666667</v>
      </c>
      <c r="H301" s="7"/>
      <c r="I301" s="7"/>
      <c r="J301" s="29"/>
      <c r="K301" s="29">
        <f t="shared" si="30"/>
        <v>0.95884066666666667</v>
      </c>
      <c r="L301" s="7"/>
      <c r="M301" s="29">
        <f>IF(Ondergrondscenarios[[#This Row],[Scenariotype '[-']]]="Tussenzandlaag",0,VLOOKUP($C301,DataDijkvakken[#All],4,FALSE))</f>
        <v>34.5</v>
      </c>
      <c r="N301" s="29">
        <f t="shared" si="31"/>
        <v>34.5</v>
      </c>
      <c r="O301" s="29">
        <f>VLOOKUP($C301,DataDijkvakken!$B:$G,5,FALSE)</f>
        <v>15</v>
      </c>
      <c r="P301" s="29">
        <f>VLOOKUP($C301,DataDijkvakken!$B:$G,6,FALSE)</f>
        <v>37.5</v>
      </c>
      <c r="Q301" s="29">
        <f t="shared" si="32"/>
        <v>37.5</v>
      </c>
      <c r="R301" s="7">
        <v>1293.75</v>
      </c>
      <c r="S301" s="27"/>
      <c r="T301" s="32">
        <f t="shared" si="33"/>
        <v>0</v>
      </c>
      <c r="U301" s="27"/>
      <c r="V301">
        <f t="shared" si="34"/>
        <v>9.5884066666666659</v>
      </c>
      <c r="W301" s="31">
        <f t="shared" si="35"/>
        <v>111.37774070701919</v>
      </c>
      <c r="X301" s="33"/>
      <c r="Y301" t="str">
        <f>IF(Ondergrondscenarios[[#This Row],[Scenariotype '[-']]]="-","",IF(Ondergrondscenarios[[#This Row],[Scenariotype '[-']]]="Pleistoceen",VLOOKUP(Ondergrondscenarios[[#This Row],[Vaknaam '[-']]],DataDijkvakken[#All],8,FALSE),VLOOKUP(Ondergrondscenarios[[#This Row],[Vaknaam '[-']]],DataDijkvakken[#All],7,FALSE)))</f>
        <v/>
      </c>
      <c r="Z301">
        <f>VLOOKUP($C301,DataDijkvakken[#All],3,FALSE)</f>
        <v>16</v>
      </c>
      <c r="AA301" s="8"/>
    </row>
    <row r="302" spans="1:27" x14ac:dyDescent="0.3">
      <c r="A302">
        <f>IFERROR(IF(Ondergrondscenarios[[#This Row],[Scenarionaam '[-']]]="","",A301+1),1)</f>
        <v>301</v>
      </c>
      <c r="B302">
        <f>A307/6</f>
        <v>51</v>
      </c>
      <c r="C302" t="str">
        <f>VLOOKUP(Ondergrondscenarios[[#This Row],[VakID '[-']]],DataDijkvakken!A:I,2,FALSE)</f>
        <v>14b</v>
      </c>
      <c r="D302" s="8" t="str">
        <f>GenererenScenarios!$B$3</f>
        <v>P_S1_PL</v>
      </c>
      <c r="E302" s="8" t="str">
        <f>GenererenScenarios!$C$3</f>
        <v>Pleistoceen</v>
      </c>
      <c r="F302" s="26">
        <v>0.8</v>
      </c>
      <c r="G302" s="29">
        <f>VLOOKUP($C302,DataDijkvakken!$B:$G,2,FALSE)</f>
        <v>1.5227464285714285</v>
      </c>
      <c r="H302" s="7"/>
      <c r="I302" s="7"/>
      <c r="J302" s="29">
        <v>-8</v>
      </c>
      <c r="K302" s="29">
        <f t="shared" si="30"/>
        <v>9.5227464285714287</v>
      </c>
      <c r="L302" s="7">
        <v>0</v>
      </c>
      <c r="M302" s="29">
        <f>IF(Ondergrondscenarios[[#This Row],[Scenariotype '[-']]]="Tussenzandlaag",0,VLOOKUP($C302,DataDijkvakken[#All],4,FALSE))</f>
        <v>34.5</v>
      </c>
      <c r="N302" s="29">
        <f t="shared" si="31"/>
        <v>34.5</v>
      </c>
      <c r="O302" s="29">
        <f>VLOOKUP($C302,DataDijkvakken!$B:$G,5,FALSE)</f>
        <v>15</v>
      </c>
      <c r="P302" s="29">
        <f>VLOOKUP($C302,DataDijkvakken!$B:$G,6,FALSE)</f>
        <v>37.5</v>
      </c>
      <c r="Q302" s="29">
        <f t="shared" si="32"/>
        <v>37.5</v>
      </c>
      <c r="R302" s="7">
        <v>1293.75</v>
      </c>
      <c r="S302" s="27"/>
      <c r="T302" s="32">
        <f t="shared" si="33"/>
        <v>0</v>
      </c>
      <c r="U302" s="27"/>
      <c r="V302">
        <f t="shared" si="34"/>
        <v>817.27464285714291</v>
      </c>
      <c r="W302" s="31">
        <f t="shared" si="35"/>
        <v>1028.2748023735817</v>
      </c>
      <c r="X302" s="33"/>
      <c r="Y302">
        <f>IF(Ondergrondscenarios[[#This Row],[Scenariotype '[-']]]="-","",IF(Ondergrondscenarios[[#This Row],[Scenariotype '[-']]]="Pleistoceen",VLOOKUP(Ondergrondscenarios[[#This Row],[Vaknaam '[-']]],DataDijkvakken[#All],8,FALSE),VLOOKUP(Ondergrondscenarios[[#This Row],[Vaknaam '[-']]],DataDijkvakken[#All],7,FALSE)))</f>
        <v>3.5000000000000005E-4</v>
      </c>
      <c r="Z302">
        <f>VLOOKUP($C302,DataDijkvakken[#All],3,FALSE)</f>
        <v>14</v>
      </c>
      <c r="AA302" s="8"/>
    </row>
    <row r="303" spans="1:27" x14ac:dyDescent="0.3">
      <c r="A303">
        <f>IFERROR(IF(Ondergrondscenarios[[#This Row],[Scenarionaam '[-']]]="","",A302+1),1)</f>
        <v>302</v>
      </c>
      <c r="B303">
        <f>A307/6</f>
        <v>51</v>
      </c>
      <c r="C303" t="str">
        <f>VLOOKUP(Ondergrondscenarios[[#This Row],[VakID '[-']]],DataDijkvakken!A:I,2,FALSE)</f>
        <v>14b</v>
      </c>
      <c r="D303" s="8" t="str">
        <f>GenererenScenarios!$B$4</f>
        <v>P_S2_HL_F</v>
      </c>
      <c r="E303" s="8" t="str">
        <f>GenererenScenarios!$C$4</f>
        <v>Holoceen</v>
      </c>
      <c r="F303" s="26">
        <v>0.2</v>
      </c>
      <c r="G303" s="29">
        <f>VLOOKUP($C303,DataDijkvakken!$B:$G,2,FALSE)</f>
        <v>1.5227464285714285</v>
      </c>
      <c r="H303" s="7"/>
      <c r="I303" s="7"/>
      <c r="J303" s="29">
        <v>0</v>
      </c>
      <c r="K303" s="29">
        <f t="shared" si="30"/>
        <v>1.5227464285714285</v>
      </c>
      <c r="L303" s="7">
        <v>8</v>
      </c>
      <c r="M303" s="29">
        <f>IF(Ondergrondscenarios[[#This Row],[Scenariotype '[-']]]="Tussenzandlaag",0,VLOOKUP($C303,DataDijkvakken[#All],4,FALSE))</f>
        <v>34.5</v>
      </c>
      <c r="N303" s="29">
        <f t="shared" si="31"/>
        <v>42.5</v>
      </c>
      <c r="O303" s="29">
        <f>VLOOKUP($C303,DataDijkvakken!$B:$G,5,FALSE)</f>
        <v>15</v>
      </c>
      <c r="P303" s="29">
        <f>VLOOKUP($C303,DataDijkvakken!$B:$G,6,FALSE)</f>
        <v>37.5</v>
      </c>
      <c r="Q303" s="29">
        <f t="shared" si="32"/>
        <v>33.264705882352942</v>
      </c>
      <c r="R303" s="7">
        <v>1413.75</v>
      </c>
      <c r="S303" s="27"/>
      <c r="T303" s="32">
        <f t="shared" si="33"/>
        <v>0</v>
      </c>
      <c r="U303" s="27"/>
      <c r="V303">
        <f t="shared" si="34"/>
        <v>17.274642857142851</v>
      </c>
      <c r="W303" s="31">
        <f t="shared" si="35"/>
        <v>156.27548220781694</v>
      </c>
      <c r="X303" s="33"/>
      <c r="Y303">
        <f>IF(Ondergrondscenarios[[#This Row],[Scenariotype '[-']]]="-","",IF(Ondergrondscenarios[[#This Row],[Scenariotype '[-']]]="Pleistoceen",VLOOKUP(Ondergrondscenarios[[#This Row],[Vaknaam '[-']]],DataDijkvakken[#All],8,FALSE),VLOOKUP(Ondergrondscenarios[[#This Row],[Vaknaam '[-']]],DataDijkvakken[#All],7,FALSE)))</f>
        <v>2.5999999999999998E-4</v>
      </c>
      <c r="Z303">
        <f>VLOOKUP($C303,DataDijkvakken[#All],3,FALSE)</f>
        <v>14</v>
      </c>
      <c r="AA303" s="8"/>
    </row>
    <row r="304" spans="1:27" x14ac:dyDescent="0.3">
      <c r="A304">
        <f>IFERROR(IF(Ondergrondscenarios[[#This Row],[Scenarionaam '[-']]]="","",A303+1),1)</f>
        <v>303</v>
      </c>
      <c r="B304">
        <f>A307/6</f>
        <v>51</v>
      </c>
      <c r="C304" t="str">
        <f>VLOOKUP(Ondergrondscenarios[[#This Row],[VakID '[-']]],DataDijkvakken!A:I,2,FALSE)</f>
        <v>14b</v>
      </c>
      <c r="D304" s="8" t="str">
        <f>GenererenScenarios!$B$5</f>
        <v>P_S3_HL_TZ</v>
      </c>
      <c r="E304" s="8" t="str">
        <f>GenererenScenarios!$C$5</f>
        <v>Tussenzandlaag</v>
      </c>
      <c r="F304" s="26">
        <v>0</v>
      </c>
      <c r="G304" s="29">
        <f>VLOOKUP($C304,DataDijkvakken!$B:$G,2,FALSE)</f>
        <v>1.5227464285714285</v>
      </c>
      <c r="H304" s="7"/>
      <c r="I304" s="7"/>
      <c r="J304" s="29"/>
      <c r="K304" s="29">
        <f t="shared" si="30"/>
        <v>1.5227464285714285</v>
      </c>
      <c r="L304" s="7"/>
      <c r="M304" s="29">
        <f>IF(Ondergrondscenarios[[#This Row],[Scenariotype '[-']]]="Tussenzandlaag",0,VLOOKUP($C304,DataDijkvakken[#All],4,FALSE))</f>
        <v>0</v>
      </c>
      <c r="N304" s="29">
        <f t="shared" si="31"/>
        <v>0.1</v>
      </c>
      <c r="O304" s="29">
        <f>VLOOKUP($C304,DataDijkvakken!$B:$G,5,FALSE)</f>
        <v>15</v>
      </c>
      <c r="P304" s="29">
        <f>VLOOKUP($C304,DataDijkvakken!$B:$G,6,FALSE)</f>
        <v>37.5</v>
      </c>
      <c r="Q304" s="29">
        <f t="shared" si="32"/>
        <v>0.1</v>
      </c>
      <c r="R304" s="7">
        <v>1.0000000000000002E-2</v>
      </c>
      <c r="S304" s="27"/>
      <c r="T304" s="32">
        <f t="shared" si="33"/>
        <v>0</v>
      </c>
      <c r="U304" s="27"/>
      <c r="V304">
        <f t="shared" si="34"/>
        <v>17.274642857142851</v>
      </c>
      <c r="W304" s="31">
        <f t="shared" si="35"/>
        <v>0.41562775240764249</v>
      </c>
      <c r="X304" s="33"/>
      <c r="Y304">
        <f>IF(Ondergrondscenarios[[#This Row],[Scenariotype '[-']]]="-","",IF(Ondergrondscenarios[[#This Row],[Scenariotype '[-']]]="Pleistoceen",VLOOKUP(Ondergrondscenarios[[#This Row],[Vaknaam '[-']]],DataDijkvakken[#All],8,FALSE),VLOOKUP(Ondergrondscenarios[[#This Row],[Vaknaam '[-']]],DataDijkvakken[#All],7,FALSE)))</f>
        <v>2.5999999999999998E-4</v>
      </c>
      <c r="Z304">
        <f>VLOOKUP($C304,DataDijkvakken[#All],3,FALSE)</f>
        <v>14</v>
      </c>
      <c r="AA304" s="8"/>
    </row>
    <row r="305" spans="1:27" x14ac:dyDescent="0.3">
      <c r="A305">
        <f>IFERROR(IF(Ondergrondscenarios[[#This Row],[Scenarionaam '[-']]]="","",A304+1),1)</f>
        <v>304</v>
      </c>
      <c r="B305">
        <f>A307/6</f>
        <v>51</v>
      </c>
      <c r="C305" t="str">
        <f>VLOOKUP(Ondergrondscenarios[[#This Row],[VakID '[-']]],DataDijkvakken!A:I,2,FALSE)</f>
        <v>14b</v>
      </c>
      <c r="D305" s="8" t="str">
        <f>GenererenScenarios!$B$6</f>
        <v>P_S4</v>
      </c>
      <c r="E305" s="8" t="str">
        <f>GenererenScenarios!$C$6</f>
        <v>-</v>
      </c>
      <c r="F305" s="26">
        <v>0</v>
      </c>
      <c r="G305" s="29">
        <f>VLOOKUP($C305,DataDijkvakken!$B:$G,2,FALSE)</f>
        <v>1.5227464285714285</v>
      </c>
      <c r="H305" s="7"/>
      <c r="I305" s="7"/>
      <c r="J305" s="29"/>
      <c r="K305" s="29">
        <f t="shared" si="30"/>
        <v>1.5227464285714285</v>
      </c>
      <c r="L305" s="7"/>
      <c r="M305" s="29">
        <f>IF(Ondergrondscenarios[[#This Row],[Scenariotype '[-']]]="Tussenzandlaag",0,VLOOKUP($C305,DataDijkvakken[#All],4,FALSE))</f>
        <v>34.5</v>
      </c>
      <c r="N305" s="29">
        <f t="shared" si="31"/>
        <v>34.5</v>
      </c>
      <c r="O305" s="29">
        <f>VLOOKUP($C305,DataDijkvakken!$B:$G,5,FALSE)</f>
        <v>15</v>
      </c>
      <c r="P305" s="29">
        <f>VLOOKUP($C305,DataDijkvakken!$B:$G,6,FALSE)</f>
        <v>37.5</v>
      </c>
      <c r="Q305" s="29">
        <f t="shared" si="32"/>
        <v>37.5</v>
      </c>
      <c r="R305" s="7">
        <v>1293.75</v>
      </c>
      <c r="S305" s="27"/>
      <c r="T305" s="32">
        <f t="shared" si="33"/>
        <v>0</v>
      </c>
      <c r="U305" s="27"/>
      <c r="V305">
        <f t="shared" si="34"/>
        <v>17.274642857142851</v>
      </c>
      <c r="W305" s="31">
        <f t="shared" si="35"/>
        <v>149.49605077201392</v>
      </c>
      <c r="X305" s="33"/>
      <c r="Y305" t="str">
        <f>IF(Ondergrondscenarios[[#This Row],[Scenariotype '[-']]]="-","",IF(Ondergrondscenarios[[#This Row],[Scenariotype '[-']]]="Pleistoceen",VLOOKUP(Ondergrondscenarios[[#This Row],[Vaknaam '[-']]],DataDijkvakken[#All],8,FALSE),VLOOKUP(Ondergrondscenarios[[#This Row],[Vaknaam '[-']]],DataDijkvakken[#All],7,FALSE)))</f>
        <v/>
      </c>
      <c r="Z305">
        <f>VLOOKUP($C305,DataDijkvakken[#All],3,FALSE)</f>
        <v>14</v>
      </c>
      <c r="AA305" s="8"/>
    </row>
    <row r="306" spans="1:27" x14ac:dyDescent="0.3">
      <c r="A306">
        <f>IFERROR(IF(Ondergrondscenarios[[#This Row],[Scenarionaam '[-']]]="","",A305+1),1)</f>
        <v>305</v>
      </c>
      <c r="B306">
        <f>A307/6</f>
        <v>51</v>
      </c>
      <c r="C306" t="str">
        <f>VLOOKUP(Ondergrondscenarios[[#This Row],[VakID '[-']]],DataDijkvakken!A:I,2,FALSE)</f>
        <v>14b</v>
      </c>
      <c r="D306" s="8" t="str">
        <f>GenererenScenarios!$B$7</f>
        <v>P_S5</v>
      </c>
      <c r="E306" s="8" t="str">
        <f>GenererenScenarios!$C$7</f>
        <v>-</v>
      </c>
      <c r="F306" s="26">
        <v>0</v>
      </c>
      <c r="G306" s="29">
        <f>VLOOKUP($C306,DataDijkvakken!$B:$G,2,FALSE)</f>
        <v>1.5227464285714285</v>
      </c>
      <c r="H306" s="7"/>
      <c r="I306" s="7"/>
      <c r="J306" s="29"/>
      <c r="K306" s="29">
        <f t="shared" si="30"/>
        <v>1.5227464285714285</v>
      </c>
      <c r="L306" s="7"/>
      <c r="M306" s="29">
        <f>IF(Ondergrondscenarios[[#This Row],[Scenariotype '[-']]]="Tussenzandlaag",0,VLOOKUP($C306,DataDijkvakken[#All],4,FALSE))</f>
        <v>34.5</v>
      </c>
      <c r="N306" s="29">
        <f t="shared" si="31"/>
        <v>34.5</v>
      </c>
      <c r="O306" s="29">
        <f>VLOOKUP($C306,DataDijkvakken!$B:$G,5,FALSE)</f>
        <v>15</v>
      </c>
      <c r="P306" s="29">
        <f>VLOOKUP($C306,DataDijkvakken!$B:$G,6,FALSE)</f>
        <v>37.5</v>
      </c>
      <c r="Q306" s="29">
        <f t="shared" si="32"/>
        <v>37.5</v>
      </c>
      <c r="R306" s="7">
        <v>1293.75</v>
      </c>
      <c r="S306" s="27"/>
      <c r="T306" s="32">
        <f t="shared" si="33"/>
        <v>0</v>
      </c>
      <c r="U306" s="27"/>
      <c r="V306">
        <f t="shared" si="34"/>
        <v>17.274642857142851</v>
      </c>
      <c r="W306" s="31">
        <f t="shared" si="35"/>
        <v>149.49605077201392</v>
      </c>
      <c r="X306" s="33"/>
      <c r="Y306" t="str">
        <f>IF(Ondergrondscenarios[[#This Row],[Scenariotype '[-']]]="-","",IF(Ondergrondscenarios[[#This Row],[Scenariotype '[-']]]="Pleistoceen",VLOOKUP(Ondergrondscenarios[[#This Row],[Vaknaam '[-']]],DataDijkvakken[#All],8,FALSE),VLOOKUP(Ondergrondscenarios[[#This Row],[Vaknaam '[-']]],DataDijkvakken[#All],7,FALSE)))</f>
        <v/>
      </c>
      <c r="Z306">
        <f>VLOOKUP($C306,DataDijkvakken[#All],3,FALSE)</f>
        <v>14</v>
      </c>
      <c r="AA306" s="8"/>
    </row>
    <row r="307" spans="1:27" x14ac:dyDescent="0.3">
      <c r="A307">
        <f>IFERROR(IF(Ondergrondscenarios[[#This Row],[Scenarionaam '[-']]]="","",A306+1),1)</f>
        <v>306</v>
      </c>
      <c r="B307">
        <f>A307/6</f>
        <v>51</v>
      </c>
      <c r="C307" t="str">
        <f>VLOOKUP(Ondergrondscenarios[[#This Row],[VakID '[-']]],DataDijkvakken!A:I,2,FALSE)</f>
        <v>14b</v>
      </c>
      <c r="D307" s="8" t="str">
        <f>GenererenScenarios!$B$8</f>
        <v>P_S6</v>
      </c>
      <c r="E307" s="8" t="str">
        <f>GenererenScenarios!$C$8</f>
        <v>-</v>
      </c>
      <c r="F307" s="26">
        <v>0</v>
      </c>
      <c r="G307" s="29">
        <f>VLOOKUP($C307,DataDijkvakken!$B:$G,2,FALSE)</f>
        <v>1.5227464285714285</v>
      </c>
      <c r="H307" s="7"/>
      <c r="I307" s="7"/>
      <c r="J307" s="29"/>
      <c r="K307" s="29">
        <f t="shared" si="30"/>
        <v>1.5227464285714285</v>
      </c>
      <c r="L307" s="7"/>
      <c r="M307" s="29">
        <f>IF(Ondergrondscenarios[[#This Row],[Scenariotype '[-']]]="Tussenzandlaag",0,VLOOKUP($C307,DataDijkvakken[#All],4,FALSE))</f>
        <v>34.5</v>
      </c>
      <c r="N307" s="29">
        <f t="shared" si="31"/>
        <v>34.5</v>
      </c>
      <c r="O307" s="29">
        <f>VLOOKUP($C307,DataDijkvakken!$B:$G,5,FALSE)</f>
        <v>15</v>
      </c>
      <c r="P307" s="29">
        <f>VLOOKUP($C307,DataDijkvakken!$B:$G,6,FALSE)</f>
        <v>37.5</v>
      </c>
      <c r="Q307" s="29">
        <f t="shared" si="32"/>
        <v>37.5</v>
      </c>
      <c r="R307" s="7">
        <v>1293.75</v>
      </c>
      <c r="S307" s="27"/>
      <c r="T307" s="32">
        <f t="shared" si="33"/>
        <v>0</v>
      </c>
      <c r="U307" s="27"/>
      <c r="V307">
        <f t="shared" si="34"/>
        <v>17.274642857142851</v>
      </c>
      <c r="W307" s="31">
        <f t="shared" si="35"/>
        <v>149.49605077201392</v>
      </c>
      <c r="X307" s="33"/>
      <c r="Y307" t="str">
        <f>IF(Ondergrondscenarios[[#This Row],[Scenariotype '[-']]]="-","",IF(Ondergrondscenarios[[#This Row],[Scenariotype '[-']]]="Pleistoceen",VLOOKUP(Ondergrondscenarios[[#This Row],[Vaknaam '[-']]],DataDijkvakken[#All],8,FALSE),VLOOKUP(Ondergrondscenarios[[#This Row],[Vaknaam '[-']]],DataDijkvakken[#All],7,FALSE)))</f>
        <v/>
      </c>
      <c r="Z307">
        <f>VLOOKUP($C307,DataDijkvakken[#All],3,FALSE)</f>
        <v>14</v>
      </c>
      <c r="AA307" s="8"/>
    </row>
  </sheetData>
  <dataValidations count="1">
    <dataValidation type="list" allowBlank="1" showInputMessage="1" showErrorMessage="1" sqref="E2:E307" xr:uid="{6A2B4986-9E8B-4FCC-8A2C-A9A559E8D5CC}">
      <formula1>Scenariotype</formula1>
    </dataValidation>
  </dataValidations>
  <pageMargins left="0.7" right="0.7" top="0.75" bottom="0.75" header="0.3" footer="0.3"/>
  <pageSetup paperSize="9"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M35"/>
  <sheetViews>
    <sheetView zoomScale="90" zoomScaleNormal="90" workbookViewId="0">
      <pane xSplit="2" ySplit="1" topLeftCell="D2" activePane="bottomRight" state="frozen"/>
      <selection pane="topRight" activeCell="C1" sqref="C1"/>
      <selection pane="bottomLeft" activeCell="A2" sqref="A2"/>
      <selection pane="bottomRight" activeCell="D16" sqref="D16"/>
    </sheetView>
  </sheetViews>
  <sheetFormatPr defaultColWidth="0" defaultRowHeight="14.4" zeroHeight="1" x14ac:dyDescent="0.3"/>
  <cols>
    <col min="1" max="1" width="16.6640625" hidden="1" customWidth="1"/>
    <col min="2" max="2" width="34.33203125" customWidth="1"/>
    <col min="3" max="3" width="55.5546875" hidden="1" customWidth="1"/>
    <col min="4" max="4" width="31" customWidth="1"/>
    <col min="5" max="5" width="67.6640625" customWidth="1"/>
    <col min="6" max="6" width="12" hidden="1" customWidth="1"/>
    <col min="7" max="7" width="64.44140625" bestFit="1" customWidth="1"/>
    <col min="8" max="8" width="43.88671875" bestFit="1" customWidth="1"/>
    <col min="9" max="9" width="15.6640625" customWidth="1"/>
    <col min="10" max="10" width="117.33203125" customWidth="1"/>
    <col min="11" max="11" width="22.109375" bestFit="1" customWidth="1"/>
    <col min="12" max="12" width="18.33203125" hidden="1" customWidth="1"/>
    <col min="13" max="13" width="6.6640625" customWidth="1"/>
    <col min="14" max="16384" width="8.88671875" hidden="1"/>
  </cols>
  <sheetData>
    <row r="1" spans="1:12" x14ac:dyDescent="0.3">
      <c r="A1" s="1" t="s">
        <v>55</v>
      </c>
      <c r="B1" s="1" t="s">
        <v>56</v>
      </c>
      <c r="C1" s="1" t="s">
        <v>57</v>
      </c>
      <c r="D1" s="1" t="s">
        <v>58</v>
      </c>
      <c r="E1" s="1" t="s">
        <v>0</v>
      </c>
      <c r="F1" s="1" t="s">
        <v>66</v>
      </c>
      <c r="G1" s="1" t="s">
        <v>1</v>
      </c>
      <c r="H1" s="1" t="s">
        <v>2</v>
      </c>
      <c r="I1" s="1" t="s">
        <v>45</v>
      </c>
      <c r="J1" s="1" t="s">
        <v>46</v>
      </c>
      <c r="K1" s="1" t="s">
        <v>47</v>
      </c>
      <c r="L1" s="1" t="s">
        <v>51</v>
      </c>
    </row>
    <row r="2" spans="1:12" x14ac:dyDescent="0.3">
      <c r="A2" t="s">
        <v>6</v>
      </c>
      <c r="B2" s="4" t="s">
        <v>68</v>
      </c>
      <c r="C2" t="s">
        <v>69</v>
      </c>
      <c r="D2" t="s">
        <v>70</v>
      </c>
      <c r="E2" s="3" t="s">
        <v>68</v>
      </c>
      <c r="F2" s="3" t="s">
        <v>67</v>
      </c>
      <c r="G2" s="3"/>
      <c r="H2" s="41"/>
      <c r="I2" s="8"/>
      <c r="J2" s="8"/>
      <c r="K2" s="8"/>
    </row>
    <row r="3" spans="1:12" x14ac:dyDescent="0.3">
      <c r="A3" t="s">
        <v>6</v>
      </c>
      <c r="B3" t="s">
        <v>41</v>
      </c>
      <c r="C3" t="str">
        <f>B3</f>
        <v>UittredepuntenID</v>
      </c>
      <c r="D3" t="s">
        <v>5</v>
      </c>
      <c r="E3" s="3" t="s">
        <v>41</v>
      </c>
      <c r="F3" s="3" t="s">
        <v>67</v>
      </c>
      <c r="G3" s="3" t="s">
        <v>11</v>
      </c>
      <c r="H3" s="41"/>
      <c r="I3" s="8"/>
      <c r="J3" s="8"/>
      <c r="K3" s="8"/>
    </row>
    <row r="4" spans="1:12" x14ac:dyDescent="0.3">
      <c r="A4" t="s">
        <v>6</v>
      </c>
      <c r="B4" t="s">
        <v>12</v>
      </c>
      <c r="C4" t="str">
        <f>B4</f>
        <v>VakID</v>
      </c>
      <c r="D4" t="s">
        <v>15</v>
      </c>
      <c r="E4" s="3" t="s">
        <v>12</v>
      </c>
      <c r="F4" s="3" t="s">
        <v>67</v>
      </c>
      <c r="G4" s="3" t="s">
        <v>14</v>
      </c>
      <c r="H4" s="41"/>
      <c r="I4" s="8" t="s">
        <v>49</v>
      </c>
      <c r="J4" s="8" t="s">
        <v>308</v>
      </c>
      <c r="K4" s="8" t="s">
        <v>12</v>
      </c>
    </row>
    <row r="5" spans="1:12" x14ac:dyDescent="0.3">
      <c r="A5" t="s">
        <v>6</v>
      </c>
      <c r="B5" t="s">
        <v>13</v>
      </c>
      <c r="C5" t="str">
        <f>B5</f>
        <v>Vaknaam</v>
      </c>
      <c r="D5" t="s">
        <v>15</v>
      </c>
      <c r="E5" s="3" t="s">
        <v>13</v>
      </c>
      <c r="F5" s="3" t="s">
        <v>67</v>
      </c>
      <c r="G5" s="3" t="s">
        <v>16</v>
      </c>
      <c r="H5" s="41"/>
      <c r="I5" s="8" t="s">
        <v>49</v>
      </c>
      <c r="J5" s="8" t="s">
        <v>308</v>
      </c>
      <c r="K5" s="8" t="s">
        <v>13</v>
      </c>
    </row>
    <row r="6" spans="1:12" ht="28.8" x14ac:dyDescent="0.3">
      <c r="A6" t="s">
        <v>6</v>
      </c>
      <c r="B6" t="s">
        <v>17</v>
      </c>
      <c r="C6" t="str">
        <f>B6</f>
        <v>Uittredelocatie</v>
      </c>
      <c r="D6" t="s">
        <v>15</v>
      </c>
      <c r="E6" s="3" t="s">
        <v>17</v>
      </c>
      <c r="F6" s="3" t="s">
        <v>67</v>
      </c>
      <c r="G6" s="3" t="s">
        <v>19</v>
      </c>
      <c r="H6" s="41"/>
      <c r="I6" s="8" t="s">
        <v>49</v>
      </c>
      <c r="J6" s="8" t="s">
        <v>308</v>
      </c>
      <c r="K6" s="8" t="s">
        <v>17</v>
      </c>
    </row>
    <row r="7" spans="1:12" ht="28.8" x14ac:dyDescent="0.3">
      <c r="A7" t="s">
        <v>6</v>
      </c>
      <c r="B7" t="s">
        <v>18</v>
      </c>
      <c r="C7" t="s">
        <v>59</v>
      </c>
      <c r="D7" t="s">
        <v>15</v>
      </c>
      <c r="E7" s="3" t="s">
        <v>18</v>
      </c>
      <c r="F7" s="3" t="s">
        <v>67</v>
      </c>
      <c r="G7" s="3" t="s">
        <v>20</v>
      </c>
      <c r="H7" s="41"/>
      <c r="I7" s="8" t="s">
        <v>49</v>
      </c>
      <c r="J7" s="8" t="s">
        <v>308</v>
      </c>
      <c r="K7" s="41" t="s">
        <v>18</v>
      </c>
    </row>
    <row r="8" spans="1:12" s="5" customFormat="1" x14ac:dyDescent="0.3">
      <c r="A8" s="5" t="s">
        <v>6</v>
      </c>
      <c r="B8" s="5" t="s">
        <v>7</v>
      </c>
      <c r="C8" s="5" t="str">
        <f>B8</f>
        <v>Bodemhoogte</v>
      </c>
      <c r="D8" s="5" t="s">
        <v>3</v>
      </c>
      <c r="E8" s="40" t="s">
        <v>8</v>
      </c>
      <c r="F8" s="40" t="s">
        <v>67</v>
      </c>
      <c r="G8" s="40" t="s">
        <v>10</v>
      </c>
      <c r="H8" s="41" t="s">
        <v>9</v>
      </c>
      <c r="I8" s="8" t="s">
        <v>49</v>
      </c>
      <c r="J8" s="8" t="s">
        <v>308</v>
      </c>
      <c r="K8" s="8" t="s">
        <v>7</v>
      </c>
    </row>
    <row r="9" spans="1:12" ht="28.8" x14ac:dyDescent="0.3">
      <c r="A9" t="s">
        <v>6</v>
      </c>
      <c r="B9" t="s">
        <v>60</v>
      </c>
      <c r="C9" t="s">
        <v>60</v>
      </c>
      <c r="D9" t="s">
        <v>3</v>
      </c>
      <c r="E9" s="3" t="s">
        <v>21</v>
      </c>
      <c r="F9" s="3" t="s">
        <v>67</v>
      </c>
      <c r="G9" s="3" t="s">
        <v>23</v>
      </c>
      <c r="H9" s="41"/>
      <c r="I9" s="8" t="s">
        <v>49</v>
      </c>
      <c r="J9" s="8" t="s">
        <v>309</v>
      </c>
      <c r="K9" s="41" t="s">
        <v>50</v>
      </c>
    </row>
    <row r="10" spans="1:12" x14ac:dyDescent="0.3">
      <c r="A10" t="s">
        <v>6</v>
      </c>
      <c r="B10" t="s">
        <v>61</v>
      </c>
      <c r="C10" t="s">
        <v>61</v>
      </c>
      <c r="D10" t="s">
        <v>3</v>
      </c>
      <c r="E10" s="3" t="s">
        <v>22</v>
      </c>
      <c r="F10" s="3" t="s">
        <v>67</v>
      </c>
      <c r="G10" s="3" t="s">
        <v>24</v>
      </c>
      <c r="H10" s="41"/>
      <c r="I10" s="8" t="s">
        <v>49</v>
      </c>
      <c r="J10" s="8" t="s">
        <v>310</v>
      </c>
      <c r="K10" s="41" t="s">
        <v>50</v>
      </c>
    </row>
    <row r="11" spans="1:12" x14ac:dyDescent="0.3">
      <c r="A11" t="s">
        <v>6</v>
      </c>
      <c r="B11" t="s">
        <v>62</v>
      </c>
      <c r="C11" t="s">
        <v>62</v>
      </c>
      <c r="D11" t="s">
        <v>3</v>
      </c>
      <c r="E11" s="3" t="s">
        <v>240</v>
      </c>
      <c r="F11" s="3" t="s">
        <v>67</v>
      </c>
      <c r="G11" s="3" t="s">
        <v>25</v>
      </c>
      <c r="H11" s="41"/>
      <c r="I11" s="8" t="s">
        <v>49</v>
      </c>
      <c r="J11" s="8" t="s">
        <v>311</v>
      </c>
      <c r="K11" s="41" t="s">
        <v>50</v>
      </c>
    </row>
    <row r="12" spans="1:12" s="5" customFormat="1" x14ac:dyDescent="0.3">
      <c r="A12" s="5" t="s">
        <v>6</v>
      </c>
      <c r="B12" s="5" t="s">
        <v>156</v>
      </c>
      <c r="C12" s="5" t="s">
        <v>156</v>
      </c>
      <c r="D12" s="5" t="s">
        <v>3</v>
      </c>
      <c r="E12" s="5" t="s">
        <v>155</v>
      </c>
      <c r="F12" s="40" t="s">
        <v>67</v>
      </c>
      <c r="G12" s="40" t="s">
        <v>162</v>
      </c>
      <c r="H12" s="41" t="s">
        <v>163</v>
      </c>
      <c r="I12" s="8" t="s">
        <v>49</v>
      </c>
      <c r="J12" s="8" t="s">
        <v>310</v>
      </c>
      <c r="K12" s="41" t="s">
        <v>50</v>
      </c>
    </row>
    <row r="13" spans="1:12" ht="43.2" x14ac:dyDescent="0.3">
      <c r="A13" t="s">
        <v>6</v>
      </c>
      <c r="B13" t="s">
        <v>241</v>
      </c>
      <c r="C13" t="s">
        <v>71</v>
      </c>
      <c r="D13" t="s">
        <v>3</v>
      </c>
      <c r="E13" s="3" t="s">
        <v>74</v>
      </c>
      <c r="F13" s="3" t="s">
        <v>67</v>
      </c>
      <c r="G13" s="3" t="s">
        <v>73</v>
      </c>
      <c r="H13" s="8"/>
      <c r="I13" s="8" t="s">
        <v>49</v>
      </c>
      <c r="J13" s="8" t="s">
        <v>312</v>
      </c>
      <c r="K13" s="8" t="s">
        <v>50</v>
      </c>
    </row>
    <row r="14" spans="1:12" x14ac:dyDescent="0.3">
      <c r="A14" t="s">
        <v>6</v>
      </c>
      <c r="B14" t="s">
        <v>242</v>
      </c>
      <c r="C14" t="str">
        <f>B14</f>
        <v>WBN</v>
      </c>
      <c r="D14" t="s">
        <v>3</v>
      </c>
      <c r="E14" s="3" t="s">
        <v>26</v>
      </c>
      <c r="F14" s="3" t="s">
        <v>67</v>
      </c>
      <c r="G14" s="3" t="s">
        <v>27</v>
      </c>
      <c r="H14" s="41" t="s">
        <v>42</v>
      </c>
      <c r="I14" s="8" t="s">
        <v>49</v>
      </c>
      <c r="J14" s="8" t="s">
        <v>313</v>
      </c>
      <c r="K14" s="41" t="s">
        <v>54</v>
      </c>
    </row>
    <row r="15" spans="1:12" ht="28.8" x14ac:dyDescent="0.3">
      <c r="A15" t="s">
        <v>6</v>
      </c>
      <c r="B15" t="s">
        <v>28</v>
      </c>
      <c r="C15" t="str">
        <f>B15</f>
        <v>Polderpeil</v>
      </c>
      <c r="D15" t="s">
        <v>3</v>
      </c>
      <c r="E15" s="3" t="s">
        <v>29</v>
      </c>
      <c r="F15" s="3" t="s">
        <v>67</v>
      </c>
      <c r="G15" s="3" t="s">
        <v>30</v>
      </c>
      <c r="H15" s="41" t="s">
        <v>43</v>
      </c>
      <c r="I15" s="8" t="s">
        <v>49</v>
      </c>
      <c r="J15" s="8" t="s">
        <v>308</v>
      </c>
      <c r="K15" s="8" t="s">
        <v>28</v>
      </c>
      <c r="L15" s="5"/>
    </row>
    <row r="16" spans="1:12" x14ac:dyDescent="0.3">
      <c r="A16" t="s">
        <v>6</v>
      </c>
      <c r="B16" t="s">
        <v>52</v>
      </c>
      <c r="C16" t="s">
        <v>63</v>
      </c>
      <c r="D16" t="s">
        <v>15</v>
      </c>
      <c r="E16" s="3" t="s">
        <v>53</v>
      </c>
      <c r="F16" s="3" t="s">
        <v>67</v>
      </c>
      <c r="G16" s="3"/>
      <c r="H16" s="41"/>
      <c r="I16" s="8"/>
      <c r="J16" s="8"/>
      <c r="K16" s="8"/>
    </row>
    <row r="17" spans="1:11" ht="43.2" x14ac:dyDescent="0.3">
      <c r="A17" t="s">
        <v>6</v>
      </c>
      <c r="B17" t="s">
        <v>72</v>
      </c>
      <c r="C17" t="str">
        <f>B17</f>
        <v>Stijghoogte_GeohydrologischModel</v>
      </c>
      <c r="D17" t="s">
        <v>3</v>
      </c>
      <c r="E17" s="3" t="s">
        <v>243</v>
      </c>
      <c r="F17" s="3" t="s">
        <v>67</v>
      </c>
      <c r="G17" s="3" t="s">
        <v>73</v>
      </c>
      <c r="H17" s="8"/>
      <c r="I17" s="8" t="s">
        <v>48</v>
      </c>
      <c r="J17" s="8" t="s">
        <v>314</v>
      </c>
      <c r="K17" s="8"/>
    </row>
    <row r="18" spans="1:11" ht="28.8" x14ac:dyDescent="0.3">
      <c r="A18" t="s">
        <v>6</v>
      </c>
      <c r="B18" t="s">
        <v>31</v>
      </c>
      <c r="C18" t="s">
        <v>64</v>
      </c>
      <c r="D18" t="s">
        <v>3</v>
      </c>
      <c r="E18" s="3" t="s">
        <v>33</v>
      </c>
      <c r="F18" s="3" t="s">
        <v>67</v>
      </c>
      <c r="G18" s="3"/>
      <c r="H18" s="41" t="s">
        <v>44</v>
      </c>
      <c r="I18" s="8" t="s">
        <v>49</v>
      </c>
      <c r="J18" s="8" t="s">
        <v>308</v>
      </c>
      <c r="K18" s="8" t="s">
        <v>31</v>
      </c>
    </row>
    <row r="19" spans="1:11" ht="28.8" x14ac:dyDescent="0.3">
      <c r="A19" t="s">
        <v>6</v>
      </c>
      <c r="B19" t="s">
        <v>32</v>
      </c>
      <c r="C19" t="s">
        <v>65</v>
      </c>
      <c r="D19" t="s">
        <v>3</v>
      </c>
      <c r="E19" s="3" t="s">
        <v>34</v>
      </c>
      <c r="F19" s="3" t="s">
        <v>67</v>
      </c>
      <c r="G19" s="3"/>
      <c r="H19" s="41" t="s">
        <v>44</v>
      </c>
      <c r="I19" s="8" t="s">
        <v>49</v>
      </c>
      <c r="J19" s="8" t="s">
        <v>308</v>
      </c>
      <c r="K19" s="8" t="s">
        <v>32</v>
      </c>
    </row>
    <row r="20" spans="1:11" x14ac:dyDescent="0.3">
      <c r="A20" t="s">
        <v>6</v>
      </c>
      <c r="B20" t="str">
        <f>GenererenScenarios!B3</f>
        <v>P_S1_PL</v>
      </c>
      <c r="C20" s="6" t="s">
        <v>35</v>
      </c>
      <c r="D20" t="s">
        <v>3</v>
      </c>
      <c r="E20" s="3" t="s">
        <v>225</v>
      </c>
      <c r="F20" s="3" t="s">
        <v>67</v>
      </c>
      <c r="G20" s="3"/>
      <c r="H20" s="41"/>
      <c r="I20" s="8" t="s">
        <v>49</v>
      </c>
      <c r="J20" s="8" t="s">
        <v>308</v>
      </c>
      <c r="K20" s="8" t="s">
        <v>35</v>
      </c>
    </row>
    <row r="21" spans="1:11" x14ac:dyDescent="0.3">
      <c r="A21" t="s">
        <v>6</v>
      </c>
      <c r="B21" t="str">
        <f>GenererenScenarios!B4</f>
        <v>P_S2_HL_F</v>
      </c>
      <c r="C21" s="6" t="s">
        <v>36</v>
      </c>
      <c r="D21" t="s">
        <v>3</v>
      </c>
      <c r="E21" s="3" t="s">
        <v>226</v>
      </c>
      <c r="F21" s="3" t="s">
        <v>67</v>
      </c>
      <c r="G21" s="3"/>
      <c r="H21" s="41"/>
      <c r="I21" s="8" t="s">
        <v>49</v>
      </c>
      <c r="J21" s="8" t="s">
        <v>308</v>
      </c>
      <c r="K21" s="8" t="s">
        <v>36</v>
      </c>
    </row>
    <row r="22" spans="1:11" x14ac:dyDescent="0.3">
      <c r="A22" t="s">
        <v>6</v>
      </c>
      <c r="B22" t="str">
        <f>GenererenScenarios!B5</f>
        <v>P_S3_HL_TZ</v>
      </c>
      <c r="C22" s="6" t="s">
        <v>37</v>
      </c>
      <c r="D22" t="s">
        <v>3</v>
      </c>
      <c r="E22" s="3" t="s">
        <v>227</v>
      </c>
      <c r="F22" s="3" t="s">
        <v>67</v>
      </c>
      <c r="G22" s="3"/>
      <c r="H22" s="41"/>
      <c r="I22" s="8" t="s">
        <v>49</v>
      </c>
      <c r="J22" s="8" t="s">
        <v>308</v>
      </c>
      <c r="K22" s="8" t="s">
        <v>37</v>
      </c>
    </row>
    <row r="23" spans="1:11" x14ac:dyDescent="0.3">
      <c r="A23" t="s">
        <v>6</v>
      </c>
      <c r="B23" t="str">
        <f>GenererenScenarios!B6</f>
        <v>P_S4</v>
      </c>
      <c r="C23" t="s">
        <v>38</v>
      </c>
      <c r="D23" t="s">
        <v>3</v>
      </c>
      <c r="E23" s="3" t="s">
        <v>222</v>
      </c>
      <c r="F23" s="3" t="s">
        <v>67</v>
      </c>
      <c r="G23" s="3"/>
      <c r="H23" s="8"/>
      <c r="I23" s="8"/>
      <c r="J23" s="8"/>
      <c r="K23" s="8"/>
    </row>
    <row r="24" spans="1:11" x14ac:dyDescent="0.3">
      <c r="A24" t="s">
        <v>6</v>
      </c>
      <c r="B24" t="str">
        <f>GenererenScenarios!B7</f>
        <v>P_S5</v>
      </c>
      <c r="C24" t="s">
        <v>39</v>
      </c>
      <c r="D24" t="s">
        <v>3</v>
      </c>
      <c r="E24" s="3" t="s">
        <v>223</v>
      </c>
      <c r="F24" s="3" t="s">
        <v>67</v>
      </c>
      <c r="G24" s="3"/>
      <c r="H24" s="8"/>
      <c r="I24" s="8"/>
      <c r="J24" s="8"/>
      <c r="K24" s="8"/>
    </row>
    <row r="25" spans="1:11" x14ac:dyDescent="0.3">
      <c r="A25" t="s">
        <v>6</v>
      </c>
      <c r="B25" t="str">
        <f>GenererenScenarios!B8</f>
        <v>P_S6</v>
      </c>
      <c r="C25" t="s">
        <v>40</v>
      </c>
      <c r="D25" t="s">
        <v>3</v>
      </c>
      <c r="E25" s="3" t="s">
        <v>224</v>
      </c>
      <c r="F25" s="3" t="s">
        <v>67</v>
      </c>
      <c r="G25" s="3"/>
      <c r="H25" s="8"/>
      <c r="I25" s="8"/>
      <c r="J25" s="8"/>
      <c r="K25" s="8"/>
    </row>
    <row r="26" spans="1:11" x14ac:dyDescent="0.3"/>
    <row r="27" spans="1:11" hidden="1" x14ac:dyDescent="0.3"/>
    <row r="28" spans="1:11" hidden="1" x14ac:dyDescent="0.3"/>
    <row r="29" spans="1:11" hidden="1" x14ac:dyDescent="0.3"/>
    <row r="30" spans="1:11" hidden="1" x14ac:dyDescent="0.3"/>
    <row r="31" spans="1:11" hidden="1" x14ac:dyDescent="0.3"/>
    <row r="32" spans="1:11" ht="15" hidden="1" customHeight="1" x14ac:dyDescent="0.3"/>
    <row r="33" ht="15" hidden="1" customHeight="1" x14ac:dyDescent="0.3"/>
    <row r="34" ht="15" hidden="1" customHeight="1" x14ac:dyDescent="0.3"/>
    <row r="35" ht="15" hidden="1" customHeight="1" x14ac:dyDescent="0.3"/>
  </sheetData>
  <dataValidations count="2">
    <dataValidation type="list" allowBlank="1" showInputMessage="1" showErrorMessage="1" sqref="I2 I4:I25" xr:uid="{032FF166-06F8-47C0-8B25-CAF80CB53BFA}">
      <formula1>KoppelingTypen</formula1>
    </dataValidation>
    <dataValidation type="list" allowBlank="1" showInputMessage="1" showErrorMessage="1" sqref="D91:D98 D2:D25" xr:uid="{00000000-0002-0000-0000-000001000000}">
      <formula1>Fieldtypes</formula1>
    </dataValidation>
  </dataValidations>
  <hyperlinks>
    <hyperlink ref="B2" r:id="rId1" display="Shape@" xr:uid="{1EC1B06A-8407-41B3-B83A-9C07948819A8}"/>
  </hyperlinks>
  <pageMargins left="0.7" right="0.7" top="0.75" bottom="0.75" header="0.3" footer="0.3"/>
  <pageSetup paperSize="9" orientation="portrait" r:id="rId2"/>
  <legacyDrawing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5"/>
  <sheetViews>
    <sheetView workbookViewId="0">
      <selection activeCell="E20" sqref="E20"/>
    </sheetView>
  </sheetViews>
  <sheetFormatPr defaultRowHeight="14.4" x14ac:dyDescent="0.3"/>
  <cols>
    <col min="1" max="1" width="34.88671875" customWidth="1"/>
    <col min="2" max="2" width="32.6640625" customWidth="1"/>
  </cols>
  <sheetData>
    <row r="1" spans="1:2" x14ac:dyDescent="0.3">
      <c r="A1" s="2" t="str">
        <f>"TEKST"</f>
        <v>TEKST</v>
      </c>
      <c r="B1" t="s">
        <v>48</v>
      </c>
    </row>
    <row r="2" spans="1:2" x14ac:dyDescent="0.3">
      <c r="A2" t="s">
        <v>3</v>
      </c>
      <c r="B2" t="s">
        <v>49</v>
      </c>
    </row>
    <row r="3" spans="1:2" x14ac:dyDescent="0.3">
      <c r="A3" t="s">
        <v>5</v>
      </c>
    </row>
    <row r="4" spans="1:2" x14ac:dyDescent="0.3">
      <c r="A4" t="s">
        <v>4</v>
      </c>
    </row>
    <row r="5" spans="1:2" x14ac:dyDescent="0.3">
      <c r="A5" t="s">
        <v>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40</vt:i4>
      </vt:variant>
    </vt:vector>
  </HeadingPairs>
  <TitlesOfParts>
    <vt:vector size="47" baseType="lpstr">
      <vt:lpstr>Configuratietabel</vt:lpstr>
      <vt:lpstr>CalculationSettings</vt:lpstr>
      <vt:lpstr>DataDijkvakken</vt:lpstr>
      <vt:lpstr>GenererenScenarios</vt:lpstr>
      <vt:lpstr>Ondergrondscenarios</vt:lpstr>
      <vt:lpstr>InputsUittredepunten</vt:lpstr>
      <vt:lpstr>Lookup</vt:lpstr>
      <vt:lpstr>a_l</vt:lpstr>
      <vt:lpstr>AantalDijkvakken</vt:lpstr>
      <vt:lpstr>b_l</vt:lpstr>
      <vt:lpstr>ClearScenarios</vt:lpstr>
      <vt:lpstr>coefficient_white</vt:lpstr>
      <vt:lpstr>d70_ref</vt:lpstr>
      <vt:lpstr>doorlatendheidDikkeDeklaag</vt:lpstr>
      <vt:lpstr>doorlatendheidDunneDeklaag</vt:lpstr>
      <vt:lpstr>Fieldtypes</vt:lpstr>
      <vt:lpstr>gamma_p</vt:lpstr>
      <vt:lpstr>gamma_w</vt:lpstr>
      <vt:lpstr>grensDikte</vt:lpstr>
      <vt:lpstr>i_c_h</vt:lpstr>
      <vt:lpstr>KarkSpreidinglengteVoorland</vt:lpstr>
      <vt:lpstr>KoppelingTypen</vt:lpstr>
      <vt:lpstr>L</vt:lpstr>
      <vt:lpstr>m_he</vt:lpstr>
      <vt:lpstr>m_p</vt:lpstr>
      <vt:lpstr>m_u</vt:lpstr>
      <vt:lpstr>MaxRatioPipeLengteKwelweglengte</vt:lpstr>
      <vt:lpstr>Overstromingskans</vt:lpstr>
      <vt:lpstr>PercentielSpreidingslengteVoorland</vt:lpstr>
      <vt:lpstr>rekenmethodiekLeklengte</vt:lpstr>
      <vt:lpstr>Return_eis_ond</vt:lpstr>
      <vt:lpstr>Return_eis_selectie</vt:lpstr>
      <vt:lpstr>Return_eis_sign</vt:lpstr>
      <vt:lpstr>Scenario1</vt:lpstr>
      <vt:lpstr>Scenario2</vt:lpstr>
      <vt:lpstr>Scenario3</vt:lpstr>
      <vt:lpstr>Scenario4</vt:lpstr>
      <vt:lpstr>Scenario5</vt:lpstr>
      <vt:lpstr>Scenario6</vt:lpstr>
      <vt:lpstr>ScenarioCopy</vt:lpstr>
      <vt:lpstr>Scenarionamen</vt:lpstr>
      <vt:lpstr>Scenariotype</vt:lpstr>
      <vt:lpstr>SchoneRijen</vt:lpstr>
      <vt:lpstr>theta</vt:lpstr>
      <vt:lpstr>VCSpreidingslengteVoorland</vt:lpstr>
      <vt:lpstr>visc</vt:lpstr>
      <vt:lpstr>w</vt:lpstr>
    </vt:vector>
  </TitlesOfParts>
  <Company>Royal Haskoning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Dirk Voesenek</dc:creator>
  <cp:lastModifiedBy>Tom de Wit</cp:lastModifiedBy>
  <dcterms:created xsi:type="dcterms:W3CDTF">2016-08-24T07:56:22Z</dcterms:created>
  <dcterms:modified xsi:type="dcterms:W3CDTF">2020-10-29T15:31:04Z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70ecb400-4b25-455b-ae14-cf8d7136e40b</vt:lpwstr>
  </property>
</Properties>
</file>