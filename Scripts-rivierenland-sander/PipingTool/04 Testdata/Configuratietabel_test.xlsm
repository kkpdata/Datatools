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Projecten\BH2549 - Pipingtool\Scripts\Definitieve oplevering Github\04 Testdata\"/>
    </mc:Choice>
  </mc:AlternateContent>
  <xr:revisionPtr revIDLastSave="0" documentId="13_ncr:1_{AFC400B9-5A72-4264-BA5C-E010EAA2DAF3}" xr6:coauthVersionLast="45" xr6:coauthVersionMax="45" xr10:uidLastSave="{00000000-0000-0000-0000-000000000000}"/>
  <bookViews>
    <workbookView xWindow="-120" yWindow="-120" windowWidth="29040" windowHeight="15840" tabRatio="846" firstSheet="1" activeTab="1" xr2:uid="{00000000-000D-0000-FFFF-FFFF00000000}"/>
  </bookViews>
  <sheets>
    <sheet name="Bestandspaden" sheetId="6" state="hidden" r:id="rId1"/>
    <sheet name="CalculationSettings" sheetId="12" r:id="rId2"/>
    <sheet name="DataDijkvakken" sheetId="15" r:id="rId3"/>
    <sheet name="GenererenScenarios" sheetId="17" state="hidden" r:id="rId4"/>
    <sheet name="InputsUittredepunten" sheetId="1" state="hidden" r:id="rId5"/>
    <sheet name="Ondergrondscenarios" sheetId="19" r:id="rId6"/>
    <sheet name="Lookup" sheetId="2" state="hidden" r:id="rId7"/>
  </sheets>
  <definedNames>
    <definedName name="_xlnm._FilterDatabase" localSheetId="4" hidden="1">InputsUittredepunten!$A$1:$L$25</definedName>
    <definedName name="a_l">CalculationSettings!$G$6</definedName>
    <definedName name="AantalDijkvakken">GenererenScenarios!$C$9</definedName>
    <definedName name="b_l">CalculationSettings!$G$7</definedName>
    <definedName name="ClearScenarios">#REF!</definedName>
    <definedName name="coefficient_white">CalculationSettings!$G$17</definedName>
    <definedName name="d70_ref">CalculationSettings!$G$18</definedName>
    <definedName name="doorlatendheidDikkeDeklaag">CalculationSettings!$G$34</definedName>
    <definedName name="doorlatendheidDunneDeklaag">CalculationSettings!$G$33</definedName>
    <definedName name="Fieldtypes">Lookup!$A$1:$A$5</definedName>
    <definedName name="gamma_p">CalculationSettings!$G$19</definedName>
    <definedName name="gamma_w">CalculationSettings!$G$20</definedName>
    <definedName name="grensDikte">CalculationSettings!$G$35</definedName>
    <definedName name="i_c_h">CalculationSettings!$G$25</definedName>
    <definedName name="KoppelingTypen">Lookup!$B$1:$B$3</definedName>
    <definedName name="L">CalculationSettings!$G$5</definedName>
    <definedName name="m_he">CalculationSettings!$G$24</definedName>
    <definedName name="m_p">CalculationSettings!$G$14</definedName>
    <definedName name="m_u">CalculationSettings!$G$23</definedName>
    <definedName name="MaxRatioPipeLengteKwelweglengte">CalculationSettings!$G$22</definedName>
    <definedName name="Overstromingskans">CalculationSettings!$J$10:$J$11</definedName>
    <definedName name="rekenmethodiekLeklengte">CalculationSettings!$G$29</definedName>
    <definedName name="Return_eis_ond">CalculationSettings!$G$9</definedName>
    <definedName name="Return_eis_selectie">CalculationSettings!$G$10</definedName>
    <definedName name="Return_eis_sign">CalculationSettings!$G$8</definedName>
    <definedName name="RootFolderInput">Bestandspaden!$A$1</definedName>
    <definedName name="Scenario1">GenererenScenarios!$B$3</definedName>
    <definedName name="Scenario2">GenererenScenarios!$B$4</definedName>
    <definedName name="Scenario3">GenererenScenarios!$B$5</definedName>
    <definedName name="Scenario4">GenererenScenarios!$B$6</definedName>
    <definedName name="Scenario5">GenererenScenarios!$B$7</definedName>
    <definedName name="Scenario6">GenererenScenarios!$B$8</definedName>
    <definedName name="ScenarioCopy">#REF!</definedName>
    <definedName name="Scenarionamen">Table3[Scenarionamen]</definedName>
    <definedName name="Scenariotype">CalculationSettings!$B$38:$B$41</definedName>
    <definedName name="SchoneRijen">GenererenScenarios!$50:$55</definedName>
    <definedName name="theta">CalculationSettings!$G$16</definedName>
    <definedName name="visc">CalculationSettings!$G$15</definedName>
    <definedName name="w">CalculationSettings!$G$4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0" i="17" l="1"/>
  <c r="L55" i="17"/>
  <c r="E55" i="17"/>
  <c r="D55" i="17"/>
  <c r="L54" i="17"/>
  <c r="E54" i="17"/>
  <c r="D54" i="17"/>
  <c r="L53" i="17"/>
  <c r="E53" i="17"/>
  <c r="D53" i="17"/>
  <c r="L52" i="17"/>
  <c r="E52" i="17"/>
  <c r="D52" i="17"/>
  <c r="L51" i="17"/>
  <c r="E51" i="17"/>
  <c r="D51" i="17"/>
  <c r="L50" i="17"/>
  <c r="E50" i="17"/>
  <c r="D50" i="17"/>
  <c r="B18" i="1" l="1"/>
  <c r="B19" i="1"/>
  <c r="B20" i="1"/>
  <c r="B21" i="1"/>
  <c r="B22" i="1"/>
  <c r="B23" i="1"/>
  <c r="G31" i="12"/>
  <c r="Y55" i="17" l="1"/>
  <c r="J55" i="17"/>
  <c r="A51" i="17"/>
  <c r="A52" i="17" s="1"/>
  <c r="A53" i="17" s="1"/>
  <c r="A54" i="17" s="1"/>
  <c r="A55" i="17" s="1"/>
  <c r="Y53" i="17"/>
  <c r="J53" i="17"/>
  <c r="J50" i="17"/>
  <c r="Y51" i="17"/>
  <c r="J51" i="17"/>
  <c r="J54" i="17"/>
  <c r="Y54" i="17"/>
  <c r="J52" i="17"/>
  <c r="Y52" i="17"/>
  <c r="B55" i="17" l="1"/>
  <c r="B53" i="17"/>
  <c r="B51" i="17"/>
  <c r="B54" i="17"/>
  <c r="B52" i="17"/>
  <c r="B50" i="17"/>
  <c r="A1" i="2" l="1"/>
  <c r="C24" i="1"/>
  <c r="C14" i="1"/>
  <c r="C13" i="1"/>
  <c r="C12" i="1"/>
  <c r="C6" i="1"/>
  <c r="C5" i="1"/>
  <c r="C4" i="1"/>
  <c r="C3" i="1"/>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2" i="15"/>
  <c r="A3" i="15" s="1"/>
  <c r="G32" i="12"/>
  <c r="G30" i="12"/>
  <c r="G25" i="12"/>
  <c r="G24" i="12"/>
  <c r="G23" i="12"/>
  <c r="G22" i="12"/>
  <c r="G21" i="12"/>
  <c r="G20" i="12"/>
  <c r="G19" i="12"/>
  <c r="G18" i="12"/>
  <c r="F18" i="12"/>
  <c r="G17" i="12"/>
  <c r="F15" i="12"/>
  <c r="G15" i="12" s="1"/>
  <c r="G14" i="12"/>
  <c r="G7" i="12"/>
  <c r="G4" i="12"/>
  <c r="C50" i="17" l="1"/>
  <c r="C53" i="17"/>
  <c r="C51" i="17"/>
  <c r="C55" i="17"/>
  <c r="C52" i="17"/>
  <c r="M52" i="17" s="1"/>
  <c r="N52" i="17" s="1"/>
  <c r="C54" i="17"/>
  <c r="C9" i="17"/>
  <c r="Z55" i="17" l="1"/>
  <c r="G55" i="17"/>
  <c r="K55" i="17" s="1"/>
  <c r="V55" i="17" s="1"/>
  <c r="P55" i="17"/>
  <c r="O55" i="17"/>
  <c r="M55" i="17"/>
  <c r="N55" i="17" s="1"/>
  <c r="Z51" i="17"/>
  <c r="P51" i="17"/>
  <c r="O51" i="17"/>
  <c r="G51" i="17"/>
  <c r="K51" i="17" s="1"/>
  <c r="V51" i="17" s="1"/>
  <c r="M51" i="17"/>
  <c r="N51" i="17" s="1"/>
  <c r="G54" i="17"/>
  <c r="K54" i="17" s="1"/>
  <c r="V54" i="17" s="1"/>
  <c r="P54" i="17"/>
  <c r="Z54" i="17"/>
  <c r="O54" i="17"/>
  <c r="M54" i="17"/>
  <c r="N54" i="17" s="1"/>
  <c r="Z53" i="17"/>
  <c r="G53" i="17"/>
  <c r="K53" i="17" s="1"/>
  <c r="V53" i="17" s="1"/>
  <c r="P53" i="17"/>
  <c r="O53" i="17"/>
  <c r="M53" i="17"/>
  <c r="N53" i="17" s="1"/>
  <c r="G52" i="17"/>
  <c r="K52" i="17" s="1"/>
  <c r="V52" i="17" s="1"/>
  <c r="P52" i="17"/>
  <c r="O52" i="17"/>
  <c r="Z52" i="17"/>
  <c r="G50" i="17"/>
  <c r="K50" i="17" s="1"/>
  <c r="V50" i="17" s="1"/>
  <c r="P50" i="17"/>
  <c r="O50" i="17"/>
  <c r="Z50" i="17"/>
  <c r="M50" i="17"/>
  <c r="N50" i="17" s="1"/>
  <c r="Q51" i="17" l="1"/>
  <c r="R51" i="17" s="1"/>
  <c r="Q52" i="17"/>
  <c r="R52" i="17" s="1"/>
  <c r="Q54" i="17"/>
  <c r="R54" i="17" s="1"/>
  <c r="Q53" i="17"/>
  <c r="R53" i="17" s="1"/>
  <c r="Q55" i="17"/>
  <c r="R55" i="17" s="1"/>
  <c r="Q50" i="17"/>
  <c r="R50" i="17" s="1"/>
  <c r="T55" i="17" l="1"/>
  <c r="W55" i="17"/>
  <c r="W53" i="17"/>
  <c r="T53" i="17"/>
  <c r="W54" i="17"/>
  <c r="T54" i="17"/>
  <c r="W51" i="17"/>
  <c r="T51" i="17"/>
  <c r="T52" i="17"/>
  <c r="W52" i="17"/>
  <c r="T50" i="17"/>
  <c r="W50" i="17"/>
  <c r="Y50"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tc={D26EEC5D-09B0-43CD-9A96-CA8B98CEC993}</author>
    <author>tc={86474498-7851-458A-8C58-58AEBE71475E}</author>
  </authors>
  <commentList>
    <comment ref="E11" authorId="0" shapeId="0" xr:uid="{D26EEC5D-09B0-43CD-9A96-CA8B98CEC993}">
      <text>
        <t>[Threaded comment]
Your version of Excel allows you to read this threaded comment; however, any edits to it will get removed if the file is opened in a newer version of Excel. Learn more: https://go.microsoft.com/fwlink/?linkid=870924
Comment:
    Nieuwe lijn. Deze afstand moet gebruikt gaan worden in de toetst van de kritieke pijplengte</t>
      </text>
    </comment>
    <comment ref="C18" authorId="1" shapeId="0" xr:uid="{86474498-7851-458A-8C58-58AEBE71475E}">
      <text>
        <t>[Threaded comment]
Your version of Excel allows you to read this threaded comment; however, any edits to it will get removed if the file is opened in a newer version of Excel. Learn more: https://go.microsoft.com/fwlink/?linkid=870924
Comment:
    Gekke naam voor in het script. Aanpassen naar P_S1, P_S2 en P_S3</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tc={586BEDBC-5EFE-454C-BB5F-BD1A3542FA3E}</author>
  </authors>
  <commentList>
    <comment ref="W1" authorId="0" shapeId="0" xr:uid="{586BEDBC-5EFE-454C-BB5F-BD1A3542FA3E}">
      <text>
        <t>[Threaded comment]
Your version of Excel allows you to read this threaded comment; however, any edits to it will get removed if the file is opened in a newer version of Excel. Learn more: https://go.microsoft.com/fwlink/?linkid=870924
Comment:
    was leklengte</t>
      </text>
    </comment>
  </commentList>
</comments>
</file>

<file path=xl/sharedStrings.xml><?xml version="1.0" encoding="utf-8"?>
<sst xmlns="http://schemas.openxmlformats.org/spreadsheetml/2006/main" count="491" uniqueCount="244">
  <si>
    <t>Alias</t>
  </si>
  <si>
    <t>Omschrijving</t>
  </si>
  <si>
    <t>Bron</t>
  </si>
  <si>
    <t>DOUBLE</t>
  </si>
  <si>
    <t>DATE</t>
  </si>
  <si>
    <t>INTEGER</t>
  </si>
  <si>
    <t>Uittredepunten</t>
  </si>
  <si>
    <t>Bodemhoogte</t>
  </si>
  <si>
    <t>Bodemhoogte [m t.o.v. NAP]</t>
  </si>
  <si>
    <t>AHN3 plus aanvullende metingen en aannames</t>
  </si>
  <si>
    <t>Maaiveldhoogte of slootbodemhoogte ter plaatse van uittredepunt</t>
  </si>
  <si>
    <t>Uniek nummer van het uittredepunt</t>
  </si>
  <si>
    <t>VakID</t>
  </si>
  <si>
    <t>Vaknaam</t>
  </si>
  <si>
    <t>Relatie met globale ondergrondschematisatie per vak</t>
  </si>
  <si>
    <t>TEKST</t>
  </si>
  <si>
    <t>Naam van het geotechnische vak waarin het uittredepunt ligt.</t>
  </si>
  <si>
    <t>Uittredelocatie</t>
  </si>
  <si>
    <t>Opmerking_uittredepunt</t>
  </si>
  <si>
    <t>Omschrijving van de locatie van het uittredepunt. Domeinwaarden zijn: binnenteen, maaiveld, watergang, wiel, kopsloot</t>
  </si>
  <si>
    <t>Vrij opmerkingenveld behorende bij de uittredelocatie om bevindingen van de expert in op te nemen</t>
  </si>
  <si>
    <t>Geometrische kwelweglengte [m]</t>
  </si>
  <si>
    <t>Afstand tot buitenteen [m]</t>
  </si>
  <si>
    <t>Afstand tot binnenteen</t>
  </si>
  <si>
    <t>De kortste afstand tussen het uittredepunt en de gedefinieerde geometrische intredelijn. Let op: dit is niet de effectieve kwelweglengte</t>
  </si>
  <si>
    <t>De kortste afstand tussen het uittredepunt en de buitenteen</t>
  </si>
  <si>
    <t>De kortste afstand tussen het uittredepunt en de binnenteen</t>
  </si>
  <si>
    <t>Maatgevend hoogwater [m t.o.v. NAP]</t>
  </si>
  <si>
    <t>Maatgevend hoogwater behorende bij de norm</t>
  </si>
  <si>
    <t>Polderpeil</t>
  </si>
  <si>
    <t>Polderpeil [m t.o.v. NAP]</t>
  </si>
  <si>
    <t>Polderpeil ter plaatse van uittredepunt. Winterpeil op basis van peilgebieden praktijk.</t>
  </si>
  <si>
    <t>LOK_TOP_Z_HL</t>
  </si>
  <si>
    <t>LOK_TOP_Z_PL</t>
  </si>
  <si>
    <t>Lokale top holoceen zandpakket [m t.o.v. NAP]</t>
  </si>
  <si>
    <t>Lokale top pleistoceen zandpakket [m t.o.v. NAP]</t>
  </si>
  <si>
    <t>P_S1_PL</t>
  </si>
  <si>
    <t>P_S2_HL_F</t>
  </si>
  <si>
    <t>P_S3_HL_TZ</t>
  </si>
  <si>
    <t>P_S4</t>
  </si>
  <si>
    <t>P_S5</t>
  </si>
  <si>
    <t>P_S6</t>
  </si>
  <si>
    <t>UittredepuntenID</t>
  </si>
  <si>
    <t>Hydra NL berekening</t>
  </si>
  <si>
    <t>Peilgebieden praktijk</t>
  </si>
  <si>
    <t>geinterpoleerd raster op basis van beschikbare boringen</t>
  </si>
  <si>
    <t>TypeKoppeling</t>
  </si>
  <si>
    <t>InputBestand</t>
  </si>
  <si>
    <t>InputVeldnaam</t>
  </si>
  <si>
    <t>RasterWaarde</t>
  </si>
  <si>
    <t>SpatialJoin</t>
  </si>
  <si>
    <t>Specifiek</t>
  </si>
  <si>
    <t>Distance</t>
  </si>
  <si>
    <t>WhereClause</t>
  </si>
  <si>
    <t>Polderpeil_Type</t>
  </si>
  <si>
    <t>Type polderpeil</t>
  </si>
  <si>
    <t>WBN_2075</t>
  </si>
  <si>
    <t>TableName</t>
  </si>
  <si>
    <t>FieldName</t>
  </si>
  <si>
    <t>PropertyName</t>
  </si>
  <si>
    <t>FieldType</t>
  </si>
  <si>
    <t>OpmerkingUittredepunt</t>
  </si>
  <si>
    <t>GeometrischeKwelweglengte</t>
  </si>
  <si>
    <t>AfstandBuitenteen</t>
  </si>
  <si>
    <t>AfstandBinnenteen</t>
  </si>
  <si>
    <t>PolderpeilType</t>
  </si>
  <si>
    <t>TopHoloceenZand</t>
  </si>
  <si>
    <t>TopPleistoceenZand</t>
  </si>
  <si>
    <t>Direction</t>
  </si>
  <si>
    <t>Input</t>
  </si>
  <si>
    <t>Shape</t>
  </si>
  <si>
    <t>UittredePointShape</t>
  </si>
  <si>
    <t>SHAPE</t>
  </si>
  <si>
    <t>DIST_spreidingslengte</t>
  </si>
  <si>
    <t>Stijghoogte_GeohydrologischModel</t>
  </si>
  <si>
    <t>Verwachte stijghoogte, uitgelezen uit geohydrologisch model</t>
  </si>
  <si>
    <t xml:space="preserve">Optioneel, kan ook achterwege gelaten worden bij berekening via analytische methode.
</t>
  </si>
  <si>
    <t>Spreidingslengte [m]</t>
  </si>
  <si>
    <t>ParameterNaam</t>
  </si>
  <si>
    <t>Eenheid</t>
  </si>
  <si>
    <t>Modelfactor piping</t>
  </si>
  <si>
    <t>m_p</t>
  </si>
  <si>
    <t>Extra weerstand die wordt veroorzaakt door de gefluïdiseerde zandkorrels in het opbarstkanaal</t>
  </si>
  <si>
    <t>r_c</t>
  </si>
  <si>
    <t>Standaard waarde</t>
  </si>
  <si>
    <t>MaxRatioPipeLengteKwelweglengte</t>
  </si>
  <si>
    <t>1/2 of 1/3</t>
  </si>
  <si>
    <t>gamma_w</t>
  </si>
  <si>
    <t>Volumegewicht van water</t>
  </si>
  <si>
    <t>m_u</t>
  </si>
  <si>
    <t>Modelfactor uplift</t>
  </si>
  <si>
    <t>i;c;h</t>
  </si>
  <si>
    <t>Kritieke heave gradient</t>
  </si>
  <si>
    <t>ω</t>
  </si>
  <si>
    <t>Faalkansruimtefactor voor piping</t>
  </si>
  <si>
    <t>L</t>
  </si>
  <si>
    <t>Trajectlengte</t>
  </si>
  <si>
    <t>Lengte van het dijktraject</t>
  </si>
  <si>
    <t>a;l</t>
  </si>
  <si>
    <t>Lengte van het dijktraject zoals vastgelegd in Bijlage II van de Waterweg [m]</t>
  </si>
  <si>
    <t>0.4 of 0.9</t>
  </si>
  <si>
    <t>b;l</t>
  </si>
  <si>
    <t>Pf_eis_sign</t>
  </si>
  <si>
    <t>Signaleringswaarde</t>
  </si>
  <si>
    <t>Pf_eis_ond</t>
  </si>
  <si>
    <t>Ondergrenswaarde</t>
  </si>
  <si>
    <t>Instellingen ter bepaling geohydrologische uitgangspunten</t>
  </si>
  <si>
    <t>Mechanismegevoelige fractie van de dijktrajectlengte (bovenrivierengebied = 0.4 en beneden riviergebied = 0.9)</t>
  </si>
  <si>
    <t>m/dag</t>
  </si>
  <si>
    <t>-</t>
  </si>
  <si>
    <t>Methode geohydrologische berekening. De berekening met de analytische methode volgens Technisch Rapport Waterspanningen bij Dijken[2004] of de geohydrologische berekening volgens een geohydrologisch model zoals Moria.</t>
  </si>
  <si>
    <t>rekenmethodiekLeklengte (rekenmethode grondwaterstroming)</t>
  </si>
  <si>
    <t>Analytisch</t>
  </si>
  <si>
    <t>Geohydrologisch model</t>
  </si>
  <si>
    <t>De bron van de stijghoogte. Deze is afhankelijk van de gekozen methode.</t>
  </si>
  <si>
    <t>Spreidingslengte voorland</t>
  </si>
  <si>
    <t>Spreidingslengte achterland</t>
  </si>
  <si>
    <t>Stijghoogtebepaling</t>
  </si>
  <si>
    <t>De spreidingslengte in het achterland wordt met methode "Analytisch" afgeleid op basis van de ondergrondscenario's. Met methode "Geohydrologisch model" wordt de stijghoogte in het geohydrologisch model berekend. In dit geval is er geen uitgangspunt nodig voor de spreidingslengte in het achterland</t>
  </si>
  <si>
    <t>Instellingen rekenmodel opbarsten, heave en piping</t>
  </si>
  <si>
    <t>Overstromingskans van het dijktraject waarvan overschrijding gemeld moet worden aan de Minister van I en M. 
Bijvoorbeeld 1/30000</t>
  </si>
  <si>
    <t>Overstromingskans van het dijktraject die hoort bij het minimale beschermingsniveau dat de kering moet bieden. 
Bijvoorbeeld 1/10000</t>
  </si>
  <si>
    <t>KinematischeViscositeit</t>
  </si>
  <si>
    <t>ν</t>
  </si>
  <si>
    <t>Kinematische viscositeit waarmee de intrinsieke doorlatendheid wordt bepaald. Standaard waarde is gebaseerd op grondwater van 10 graden celsius.</t>
  </si>
  <si>
    <t>Rolweerstandshoek</t>
  </si>
  <si>
    <t>θ</t>
  </si>
  <si>
    <t>η</t>
  </si>
  <si>
    <t>CoefficientWhite</t>
  </si>
  <si>
    <t>Coëfficiënt van White</t>
  </si>
  <si>
    <t>gamma_p</t>
  </si>
  <si>
    <t>d70m</t>
  </si>
  <si>
    <t>Symbool</t>
  </si>
  <si>
    <t>gemiddelde d70 in de kleine schaalproeven</t>
  </si>
  <si>
    <t>Toegepaste waarde</t>
  </si>
  <si>
    <t>Rolweerstandshoek van de zandkorrels</t>
  </si>
  <si>
    <t>m</t>
  </si>
  <si>
    <t>De dijkbasis regel. In dit geval een factor die de kritieke pijplente beschijft. Kritieke pijplengte = Benodigde kwelweglengte * MaxRatioPipeLengteKwelweglengte. In het WBI is deze gelijk aan 1/2.</t>
  </si>
  <si>
    <t>γw</t>
  </si>
  <si>
    <t>γ'p</t>
  </si>
  <si>
    <t>(schijnbaar) volumegewicht van de zandkorrels onder water</t>
  </si>
  <si>
    <t>kN/m3</t>
  </si>
  <si>
    <t>°</t>
  </si>
  <si>
    <t>m2/s</t>
  </si>
  <si>
    <t>Stijghoogte gradiënt waarbij heave (over de deklaag) aan wordt getoetst</t>
  </si>
  <si>
    <t>jaar</t>
  </si>
  <si>
    <t>doorlatendheidDunneDeklaag</t>
  </si>
  <si>
    <t>doorlatendheidDikkeDeklaag</t>
  </si>
  <si>
    <t>grensDikte</t>
  </si>
  <si>
    <t>Wordt gebruikt om de weerstand van de deklaag in het achterland en vervolgens de spreidingslengte van het achterland te bepalen. Wordt niet gebruikt indien de stijghoogte met een geohydrologisch model is bepaald.</t>
  </si>
  <si>
    <t>Een dunne deklaag is vaak zandig en/of is aanwezig boven de grondwaterstand. De doorlatendheid is hierdoor vaak lager dan bij een dikke deklaag. Wordt gebruikt om de weerstand van de deklaag in het achterland en vervolgens de spreidingslengte van het achterland te bepalen. Wordt niet gebruikt indien de stijghoogte met een geohydrologisch model is bepaald.</t>
  </si>
  <si>
    <t>Dit gedeelte van de deklaag is "dun" verondersteld en heeft dus een hogere doorlatendheid dan het resterende deel van de deklaag. Wordt niet gebruikt indien de stijghoogte met een geohydrologisch model is bepaald.</t>
  </si>
  <si>
    <t>kv_dun</t>
  </si>
  <si>
    <t>kv_dik</t>
  </si>
  <si>
    <t>Mechanismegevoelige fractie</t>
  </si>
  <si>
    <t>Instellingen faalkansbepaling dijktraject</t>
  </si>
  <si>
    <t>Faalkansruimte</t>
  </si>
  <si>
    <t>d70_gemiddeld</t>
  </si>
  <si>
    <t>Afstand tot grens kritieke pipelengte [m]</t>
  </si>
  <si>
    <t>AfstandGrensKritiekePipelengte</t>
  </si>
  <si>
    <t>Modelfactor heave</t>
  </si>
  <si>
    <t>m_he</t>
  </si>
  <si>
    <t>Een aanvullende modelfactor. Kan gebruikt worden om  een aanvullende factor toe te kennen over het resultaat (zowel positief als negatief)</t>
  </si>
  <si>
    <t>Korrelgrootte D70 holoceen [m]</t>
  </si>
  <si>
    <t>Korrelgrootte D70 pleistoceen [m]</t>
  </si>
  <si>
    <t>De kortste afstand tussen het uittredepunt in de grens kritieke pipelengte</t>
  </si>
  <si>
    <t>Minimaal gelijk aan de buitenteen</t>
  </si>
  <si>
    <t>D70 [m]</t>
  </si>
  <si>
    <t>OndergrondscenarioID [-]</t>
  </si>
  <si>
    <t>VakID [-]</t>
  </si>
  <si>
    <t>Vaknaam [-]</t>
  </si>
  <si>
    <t>Scenarionaam [-]</t>
  </si>
  <si>
    <t>Scenariokans_vak [%]</t>
  </si>
  <si>
    <t>bodemhoogte_vak [m NAP]</t>
  </si>
  <si>
    <t>Scenariotype</t>
  </si>
  <si>
    <t>Scenariotype [-]</t>
  </si>
  <si>
    <t>Pleistoceen</t>
  </si>
  <si>
    <t>Holoceen</t>
  </si>
  <si>
    <t>Tussenzandlaag</t>
  </si>
  <si>
    <t>Bodemhoogte_vak [m NAP]</t>
  </si>
  <si>
    <t>Dikte_Pleistoceen_Zand [m]</t>
  </si>
  <si>
    <t>k_Holoceen_Zand [m/dag]</t>
  </si>
  <si>
    <t>k_Pleistoceen_Zand [m/dag]</t>
  </si>
  <si>
    <t>Top_Holoceen_zand [m NAP]</t>
  </si>
  <si>
    <t>Top_Pleistoceen_zand [m NAP]</t>
  </si>
  <si>
    <t>Top_Zand_Vak [m NAP]</t>
  </si>
  <si>
    <t>0.3d_regel</t>
  </si>
  <si>
    <t>Lengte_effect</t>
  </si>
  <si>
    <t>Namedrange</t>
  </si>
  <si>
    <t>Dikte_Holoceen_Zand [m]</t>
  </si>
  <si>
    <t>visc</t>
  </si>
  <si>
    <t>theta</t>
  </si>
  <si>
    <t>coefficient_white</t>
  </si>
  <si>
    <t>d70_ref</t>
  </si>
  <si>
    <t>rc</t>
  </si>
  <si>
    <t>i_c_h</t>
  </si>
  <si>
    <t>w</t>
  </si>
  <si>
    <t>rekenmethodiekLeklengte</t>
  </si>
  <si>
    <t>a_l</t>
  </si>
  <si>
    <t>b_l</t>
  </si>
  <si>
    <t>Return_eis_sign</t>
  </si>
  <si>
    <t>Return_eis_ond</t>
  </si>
  <si>
    <t>rekenen met signaleringswaarde of ondergrenswaarde?</t>
  </si>
  <si>
    <t>Geometrische_achterland_lengte [m]</t>
  </si>
  <si>
    <t>Dikte_WVP [m]</t>
  </si>
  <si>
    <t>k_Holoceen_zand [m/dag]</t>
  </si>
  <si>
    <t>k_WVP [m/dag]</t>
  </si>
  <si>
    <t>kD_WVP [m2/dag]</t>
  </si>
  <si>
    <t>Weerstand_C3_achterland_handmatig [dagen]</t>
  </si>
  <si>
    <t>Weerstand_C3_achterland [dagen]</t>
  </si>
  <si>
    <t>Weerstand_C1_voorland [dagen]</t>
  </si>
  <si>
    <t>Spreidingslengte_achterland [m]</t>
  </si>
  <si>
    <t>Spreidingslengte_voorland [m]</t>
  </si>
  <si>
    <t>Scenarionamen</t>
  </si>
  <si>
    <t>Return_eis_selectie</t>
  </si>
  <si>
    <t>Pf_eis_selectie</t>
  </si>
  <si>
    <t>Keuze overstromingskans</t>
  </si>
  <si>
    <t>d_deklaag_vak [m]</t>
  </si>
  <si>
    <t>Opmerkingen_ondergrondscenario [-]</t>
  </si>
  <si>
    <t>Gamma_sat_deklaag_vak [kN/m3]</t>
  </si>
  <si>
    <t>Aantal dijkvakken</t>
  </si>
  <si>
    <t>Drop down Scenariotype selectie</t>
  </si>
  <si>
    <t>Door op deze knop te klikken wordt de ondergrondscenario tabel genegereerd. Het aantal rijen in de tabel wordt kloppend gemaakt met het aantal dijkvakken. Per dijkvak zijn  6 ondergrondscenario's mogelijk. Er worden dus ook 6 rijen gegenereerd.</t>
  </si>
  <si>
    <r>
      <t xml:space="preserve">De ondergrondtabel </t>
    </r>
    <r>
      <rPr>
        <b/>
        <u/>
        <sz val="11"/>
        <color rgb="FFFF0000"/>
        <rFont val="Calibri"/>
        <family val="2"/>
        <scheme val="minor"/>
      </rPr>
      <t>alleen</t>
    </r>
    <r>
      <rPr>
        <b/>
        <sz val="11"/>
        <color rgb="FFFF0000"/>
        <rFont val="Calibri"/>
        <family val="2"/>
        <scheme val="minor"/>
      </rPr>
      <t xml:space="preserve"> genereren aan het begin van het project om de tabel aan te maken. Bij het opnieuw genereren van de tabel worden de invoerwaardes namelijk verwijderd!</t>
    </r>
  </si>
  <si>
    <t>08c</t>
  </si>
  <si>
    <t>08d</t>
  </si>
  <si>
    <t>Hoe wordt de spreidingslengte in het voorland afgeleid? In het tabblad "Ondergrondscenarios" of met een lijn in GIS (Shapefile)?</t>
  </si>
  <si>
    <t>Lokale scenariokans voor scenario 4 [0 - 1,0]</t>
  </si>
  <si>
    <t>Lokale scenariokans voor scenario 5 [0 - 1,0]</t>
  </si>
  <si>
    <t>Lokale scenariokans voor scenario 6 [0 - 1,0]</t>
  </si>
  <si>
    <t>Lokale scenariokans voor scenario 1 [0 - 1,0]</t>
  </si>
  <si>
    <t>Lokale scenariokans voor scenario 2 [0 - 1,0]</t>
  </si>
  <si>
    <t>Lokale scenariokans voor scenario 3 [0 - 1,0]</t>
  </si>
  <si>
    <t>C:\Projecten\BH2549 - Pipingtool\Data\Testdata GoWa\03 Beslisboom\Uittredepunten\UIttredepunten.gdb\UTP_20200424_AanvullingDeelvak02a_27</t>
  </si>
  <si>
    <t>C:\Projecten\BH2549 - Pipingtool\Data\Testdata GoWa\03 Beslisboom\Intredelijn\Intredelijn.gdb\Intredelijn_incl_geulen_CROB_021019</t>
  </si>
  <si>
    <t>C:\Projecten\BH2549 - Pipingtool\Data\Testdata GoWa\03 Beslisboom\BUT_BIT\BUT_BIT.gdb\BIT_DO_15102019</t>
  </si>
  <si>
    <t>C:\Projecten\BH2549 - Pipingtool\Data\Testdata GoWa\03 Beslisboom\BUT_BIT\BUT_BIT.gdb\Grens_KritiekePiijplengte_20191015</t>
  </si>
  <si>
    <t>C:\Projecten\BH2549 - Pipingtool\Data\Testdata GoWa\03 Beslisboom\WBNwaal\WBNwaal.gdb\WBN_Waal</t>
  </si>
  <si>
    <t>C:\Projecten\BH2549 - Pipingtool\Data\Testdata GoWa\03 Beslisboom\Stijghoogte\Stijghoogte.gdb\AV_25b_MHW2075_head_20189110_l4</t>
  </si>
  <si>
    <t>C:\Projecten\BH2549 - Pipingtool\Data\Testdata GoWa\03 Beslisboom\Spreidingslengte\Spreidingslengte.gdb\Spreidingslengte_120619</t>
  </si>
  <si>
    <t>C:\Projecten\BH2549 - Pipingtool\Data\Testdata GoWa\03 Beslisboom\</t>
  </si>
  <si>
    <t/>
  </si>
  <si>
    <t>AfstandSpreidingslengte</t>
  </si>
  <si>
    <t>WBN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</si>
</sst>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quot;1/&quot;#,##0_);\(&quot;$&quot;#,##0\)"/>
  </numFmts>
  <fonts count="12"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font>
    <font>
      <sz val="11"/>
      <color theme="1"/>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0070C0"/>
      <name val="Calibri"/>
      <family val="2"/>
      <scheme val="minor"/>
    </font>
    <font>
      <b/>
      <sz val="11"/>
      <color rgb="FFFF0000"/>
      <name val="Calibri"/>
      <family val="2"/>
      <scheme val="minor"/>
    </font>
    <font>
      <b/>
      <u/>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F2F2F2"/>
      </patternFill>
    </fill>
    <fill>
      <patternFill patternType="solid">
        <fgColor rgb="FF92D050"/>
        <bgColor indexed="64"/>
      </patternFill>
    </fill>
    <fill>
      <patternFill patternType="solid">
        <fgColor theme="9" tint="0.39997558519241921"/>
        <bgColor indexed="64"/>
      </patternFill>
    </fill>
  </fills>
  <borders count="4">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2" fillId="0" borderId="0" applyNumberFormat="0" applyFill="0" applyBorder="0" applyAlignment="0" applyProtection="0"/>
    <xf numFmtId="9" fontId="4" fillId="0" borderId="0" applyFont="0" applyFill="0" applyBorder="0" applyAlignment="0" applyProtection="0"/>
    <xf numFmtId="0" fontId="5" fillId="0" borderId="1" applyNumberFormat="0" applyFill="0" applyAlignment="0" applyProtection="0"/>
    <xf numFmtId="0" fontId="6" fillId="3" borderId="2" applyNumberFormat="0" applyAlignment="0" applyProtection="0"/>
    <xf numFmtId="0" fontId="7" fillId="4" borderId="3" applyNumberFormat="0" applyAlignment="0" applyProtection="0"/>
    <xf numFmtId="0" fontId="8" fillId="4" borderId="2" applyNumberFormat="0" applyAlignment="0" applyProtection="0"/>
  </cellStyleXfs>
  <cellXfs count="42">
    <xf numFmtId="0" fontId="0" fillId="0" borderId="0" xfId="0"/>
    <xf numFmtId="0" fontId="1" fillId="0" borderId="0" xfId="0" applyFont="1"/>
    <xf numFmtId="0" fontId="0" fillId="0" borderId="0" xfId="0" quotePrefix="1"/>
    <xf numFmtId="0" fontId="0" fillId="0" borderId="0" xfId="0" applyAlignment="1">
      <alignment wrapText="1"/>
    </xf>
    <xf numFmtId="0" fontId="2" fillId="0" borderId="0" xfId="1"/>
    <xf numFmtId="0" fontId="0" fillId="0" borderId="0" xfId="0" applyFill="1"/>
    <xf numFmtId="0" fontId="0" fillId="2" borderId="0" xfId="0" applyFill="1"/>
    <xf numFmtId="2" fontId="6" fillId="3" borderId="2" xfId="4" applyNumberFormat="1"/>
    <xf numFmtId="0" fontId="6" fillId="3" borderId="2" xfId="4"/>
    <xf numFmtId="0" fontId="6" fillId="3" borderId="2" xfId="4" applyAlignment="1">
      <alignment horizontal="center" vertical="center" wrapText="1"/>
    </xf>
    <xf numFmtId="0" fontId="0" fillId="0" borderId="0" xfId="0" applyAlignment="1">
      <alignment horizontal="center" vertical="center"/>
    </xf>
    <xf numFmtId="0" fontId="7" fillId="4" borderId="3" xfId="5" applyAlignment="1">
      <alignment horizontal="center" vertical="center"/>
    </xf>
    <xf numFmtId="0" fontId="6" fillId="3" borderId="2" xfId="4" applyAlignment="1">
      <alignment horizontal="center" vertical="center"/>
    </xf>
    <xf numFmtId="0" fontId="8" fillId="4" borderId="2" xfId="6" applyAlignment="1">
      <alignment horizontal="center" vertical="center"/>
    </xf>
    <xf numFmtId="2" fontId="6" fillId="3" borderId="2" xfId="4" applyNumberFormat="1" applyAlignment="1">
      <alignment horizontal="center" vertical="center"/>
    </xf>
    <xf numFmtId="0" fontId="1" fillId="0" borderId="0" xfId="0" applyFont="1" applyAlignment="1">
      <alignment horizontal="center" vertical="center"/>
    </xf>
    <xf numFmtId="0" fontId="5" fillId="0" borderId="1" xfId="3"/>
    <xf numFmtId="0" fontId="5" fillId="0" borderId="1" xfId="3" applyAlignment="1">
      <alignment horizontal="center" vertical="center"/>
    </xf>
    <xf numFmtId="165" fontId="6" fillId="3" borderId="2" xfId="4" applyNumberFormat="1" applyAlignment="1">
      <alignment horizontal="center" vertical="center"/>
    </xf>
    <xf numFmtId="11" fontId="7" fillId="4" borderId="3" xfId="5" applyNumberFormat="1" applyAlignment="1">
      <alignment horizontal="center" vertical="center"/>
    </xf>
    <xf numFmtId="11" fontId="0" fillId="0" borderId="0" xfId="0" applyNumberFormat="1" applyAlignment="1">
      <alignment horizontal="center" vertical="center"/>
    </xf>
    <xf numFmtId="0" fontId="3" fillId="0" borderId="0" xfId="0" applyFont="1" applyAlignment="1">
      <alignment horizontal="center" vertical="center"/>
    </xf>
    <xf numFmtId="0" fontId="0" fillId="0" borderId="0" xfId="0" applyAlignment="1">
      <alignment horizontal="left" vertical="center"/>
    </xf>
    <xf numFmtId="0" fontId="5" fillId="0" borderId="1" xfId="3" applyAlignment="1">
      <alignment horizontal="left" vertical="center"/>
    </xf>
    <xf numFmtId="0" fontId="1" fillId="0" borderId="0" xfId="0" applyFont="1" applyAlignment="1">
      <alignment horizontal="left" vertical="center"/>
    </xf>
    <xf numFmtId="0" fontId="0" fillId="0" borderId="0" xfId="0" applyAlignment="1">
      <alignment horizontal="left" vertical="center" wrapText="1"/>
    </xf>
    <xf numFmtId="9" fontId="6" fillId="3" borderId="2" xfId="2" applyFont="1" applyFill="1" applyBorder="1" applyAlignment="1">
      <alignment horizontal="center"/>
    </xf>
    <xf numFmtId="164" fontId="6" fillId="3" borderId="2" xfId="4" applyNumberFormat="1"/>
    <xf numFmtId="0" fontId="0" fillId="5" borderId="0" xfId="0" applyFill="1"/>
    <xf numFmtId="0" fontId="0" fillId="0" borderId="0" xfId="0" applyFill="1" applyAlignment="1">
      <alignment horizontal="left" vertical="center"/>
    </xf>
    <xf numFmtId="2" fontId="0" fillId="0" borderId="0" xfId="0" applyNumberFormat="1"/>
    <xf numFmtId="0" fontId="0" fillId="2" borderId="0" xfId="0" applyFill="1" applyAlignment="1">
      <alignment horizontal="left" vertical="center"/>
    </xf>
    <xf numFmtId="1" fontId="0" fillId="0" borderId="0" xfId="0" applyNumberFormat="1" applyAlignment="1">
      <alignment horizontal="right"/>
    </xf>
    <xf numFmtId="1" fontId="0" fillId="0" borderId="0" xfId="0" applyNumberFormat="1"/>
    <xf numFmtId="1" fontId="6" fillId="3" borderId="2" xfId="4" applyNumberFormat="1" applyAlignment="1">
      <alignment horizontal="right"/>
    </xf>
    <xf numFmtId="0" fontId="0" fillId="0" borderId="0" xfId="0" applyAlignment="1">
      <alignment horizontal="center"/>
    </xf>
    <xf numFmtId="0" fontId="6" fillId="3" borderId="2" xfId="4" applyAlignment="1">
      <alignment horizontal="center"/>
    </xf>
    <xf numFmtId="0" fontId="8" fillId="4" borderId="2" xfId="6"/>
    <xf numFmtId="0" fontId="9" fillId="0" borderId="0" xfId="0" applyFont="1"/>
    <xf numFmtId="0" fontId="10" fillId="0" borderId="0" xfId="0" applyFont="1" applyAlignment="1">
      <alignment wrapText="1"/>
    </xf>
    <xf numFmtId="0" fontId="0" fillId="6" borderId="0" xfId="0" applyFill="1"/>
    <xf numFmtId="0" fontId="0" fillId="6" borderId="0" xfId="0" applyFill="1" applyAlignment="1">
      <alignment wrapText="1"/>
    </xf>
  </cellXfs>
  <cellStyles count="7">
    <cellStyle name="Calculation" xfId="6" builtinId="22"/>
    <cellStyle name="Heading 2" xfId="3" builtinId="17"/>
    <cellStyle name="Hyperlink" xfId="1" builtinId="8"/>
    <cellStyle name="Input" xfId="4" builtinId="20"/>
    <cellStyle name="Normal" xfId="0" builtinId="0"/>
    <cellStyle name="Output" xfId="5" builtinId="21"/>
    <cellStyle name="Percent" xfId="2" builtinId="5"/>
  </cellStyles>
  <dxfs count="11">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rgb="FF7F7F7F"/>
        </bottom>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
      <tableStyleElement type="headerRow"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990600</xdr:colOff>
      <xdr:row>0</xdr:row>
      <xdr:rowOff>133350</xdr:rowOff>
    </xdr:from>
    <xdr:to>
      <xdr:col>4</xdr:col>
      <xdr:colOff>5019675</xdr:colOff>
      <xdr:row>8</xdr:row>
      <xdr:rowOff>0</xdr:rowOff>
    </xdr:to>
    <xdr:sp macro="[0]!GenereerOndergrondscenarios" textlink="">
      <xdr:nvSpPr>
        <xdr:cNvPr id="2" name="Rectangle 1">
          <a:extLst>
            <a:ext uri="{FF2B5EF4-FFF2-40B4-BE49-F238E27FC236}">
              <a16:creationId xmlns:a16="http://schemas.microsoft.com/office/drawing/2014/main" id="{FAFB2DA8-0367-41B3-ABF8-38DD39559129}"/>
            </a:ext>
          </a:extLst>
        </xdr:cNvPr>
        <xdr:cNvSpPr/>
      </xdr:nvSpPr>
      <xdr:spPr>
        <a:xfrm>
          <a:off x="4286250" y="133350"/>
          <a:ext cx="4029075" cy="1390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2000"/>
            <a:t>Genereer ondergrondscenario</a:t>
          </a:r>
          <a:r>
            <a:rPr lang="nl-NL" sz="2000" baseline="0"/>
            <a:t> tabel</a:t>
          </a:r>
          <a:endParaRPr lang="nl-NL" sz="2000"/>
        </a:p>
      </xdr:txBody>
    </xdr:sp>
    <xdr:clientData/>
  </xdr:twoCellAnchor>
</xdr:wsDr>
</file>

<file path=xl/persons/person.xml><?xml version="1.0" encoding="utf-8"?>
<personList xmlns="http://schemas.microsoft.com/office/spreadsheetml/2018/threadedcomments" xmlns:x="http://schemas.openxmlformats.org/spreadsheetml/2006/main">
  <person displayName="Tom de Wit" id="{871E9503-BAB9-4755-B81B-ED971E661678}" userId="S::tom.de.wit@rhdhv.com::072ac276-2f74-4936-bbb4-173a605b6956"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21F6DA-E978-4E97-BD0F-802E23913463}" name="DataDijkvakken" displayName="DataDijkvakken" ref="B1:I51" totalsRowShown="0" tableBorderDxfId="8" dataCellStyle="Input">
  <autoFilter ref="B1:I51" xr:uid="{170589BA-B3A3-40A1-8524-43998C2E47B2}"/>
  <tableColumns count="8">
    <tableColumn id="1" xr3:uid="{EE495F64-91F4-4D50-8C3D-08374D0AB918}" name="Vaknaam [-]" dataDxfId="7" dataCellStyle="Input"/>
    <tableColumn id="2" xr3:uid="{DBA1983D-7414-4C17-B22F-7154886A84BB}" name="Bodemhoogte_vak [m NAP]" dataDxfId="6" dataCellStyle="Input"/>
    <tableColumn id="3" xr3:uid="{66182F30-C878-4034-ADB0-E58C472A5736}" name="Gamma_sat_deklaag_vak [kN/m3]" dataDxfId="5" dataCellStyle="Input"/>
    <tableColumn id="4" xr3:uid="{D0FA9718-ADB1-4FCF-99F8-EBC37585745B}" name="Dikte_Pleistoceen_Zand [m]" dataDxfId="4" dataCellStyle="Input"/>
    <tableColumn id="5" xr3:uid="{3DEC30B8-6BF0-4256-81D0-0F45C2297ECD}" name="k_Holoceen_Zand [m/dag]" dataDxfId="3" dataCellStyle="Input"/>
    <tableColumn id="6" xr3:uid="{D07572F6-B663-45BD-8CDB-8C3A3D191815}" name="k_Pleistoceen_Zand [m/dag]" dataDxfId="2" dataCellStyle="Input"/>
    <tableColumn id="7" xr3:uid="{579498D5-5E4B-430D-9107-6D4C822C94AF}" name="Korrelgrootte D70 holoceen [m]" dataDxfId="1" dataCellStyle="Input"/>
    <tableColumn id="8" xr3:uid="{386683E8-B9C1-48A6-90CC-7CEE390C6989}" name="Korrelgrootte D70 pleistoceen [m]" dataDxfId="0" dataCellStyle="Input">
      <calculatedColumnFormula>DataDijkvakken[[#This Row],[Korrelgrootte D70 pleistoceen '[m']]]/100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E8D8B4-215F-42C0-BB9A-7059D0AD0BD7}" name="Table3" displayName="Table3" ref="B2:C8" totalsRowShown="0" dataCellStyle="Input">
  <autoFilter ref="B2:C8" xr:uid="{A9BA5B3B-5252-4720-B533-3D560118E0CC}"/>
  <tableColumns count="2">
    <tableColumn id="1" xr3:uid="{91B22B30-3774-465F-9BD0-7743CC68AF86}" name="Scenarionamen" dataCellStyle="Input"/>
    <tableColumn id="2" xr3:uid="{0A2352AC-85CD-4378-8CDC-818DB3C06615}" name="Scenariotype" dataCellStyle="Inpu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1" dT="2020-04-29T12:21:16.08" personId="{871E9503-BAB9-4755-B81B-ED971E661678}" id="{D26EEC5D-09B0-43CD-9A96-CA8B98CEC993}">
    <text>Nieuwe lijn. Deze afstand moet gebruikt gaan worden in de toetst van de kritieke pijplengte</text>
  </threadedComment>
  <threadedComment ref="C18" dT="2020-05-12T07:59:21.52" personId="{871E9503-BAB9-4755-B81B-ED971E661678}" id="{86474498-7851-458A-8C58-58AEBE71475E}">
    <text>Gekke naam voor in het script. Aanpassen naar P_S1, P_S2 en P_S3</text>
  </threadedComment>
</ThreadedComments>
</file>

<file path=xl/threadedComments/threadedComment2.xml><?xml version="1.0" encoding="utf-8"?>
<ThreadedComments xmlns="http://schemas.microsoft.com/office/spreadsheetml/2018/threadedcomments" xmlns:x="http://schemas.openxmlformats.org/spreadsheetml/2006/main">
  <threadedComment ref="W1" dT="2020-03-04T10:18:31.21" personId="{871E9503-BAB9-4755-B81B-ED971E661678}" id="{586BEDBC-5EFE-454C-BB5F-BD1A3542FA3E}">
    <text>was leklengte</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mailto:Shape@"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cols>
    <col min="1" max="1" width="154.42578125" customWidth="1"/>
  </cols>
  <sheetData>
    <row r="1" spans="1:1" x14ac:dyDescent="0.25">
      <c r="A1" s="8" t="s">
        <v>240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6D3C-3EFB-400B-8FDA-6807AB068185}">
  <sheetPr codeName="Sheet3"/>
  <dimension ref="B1:J41"/>
  <sheetViews>
    <sheetView tabSelected="1" workbookViewId="0">
      <selection activeCell="E31" sqref="E31"/>
    </sheetView>
  </sheetViews>
  <sheetFormatPr defaultRowHeight="15" x14ac:dyDescent="0.25"/>
  <cols>
    <col min="1" max="1" width="2.42578125" customWidth="1"/>
    <col min="2" max="3" width="34.42578125" style="22" customWidth="1"/>
    <col min="4" max="4" width="11" style="10" customWidth="1"/>
    <col min="5" max="5" width="102.5703125" customWidth="1"/>
    <col min="6" max="6" width="17" style="10" customWidth="1"/>
    <col min="7" max="7" width="22.42578125" style="10" customWidth="1"/>
    <col min="8" max="8" width="9.140625" style="10"/>
    <col min="9" max="9" width="90.5703125" bestFit="1" customWidth="1"/>
    <col min="10" max="10" width="22.42578125" bestFit="1" customWidth="1"/>
  </cols>
  <sheetData>
    <row r="1" spans="2:10" ht="10.5" customHeight="1" x14ac:dyDescent="0.25"/>
    <row r="2" spans="2:10" s="16" customFormat="1" ht="18" thickBot="1" x14ac:dyDescent="0.35">
      <c r="B2" s="23" t="s">
        <v>155</v>
      </c>
      <c r="C2" s="23"/>
      <c r="D2" s="17"/>
      <c r="F2" s="17"/>
      <c r="G2" s="17"/>
      <c r="H2" s="17"/>
    </row>
    <row r="3" spans="2:10" s="1" customFormat="1" ht="15.75" thickTop="1" x14ac:dyDescent="0.25">
      <c r="B3" s="24" t="s">
        <v>78</v>
      </c>
      <c r="C3" s="24" t="s">
        <v>188</v>
      </c>
      <c r="D3" s="15" t="s">
        <v>132</v>
      </c>
      <c r="E3" s="1" t="s">
        <v>1</v>
      </c>
      <c r="F3" s="15" t="s">
        <v>84</v>
      </c>
      <c r="G3" s="15" t="s">
        <v>134</v>
      </c>
      <c r="H3" s="15" t="s">
        <v>79</v>
      </c>
    </row>
    <row r="4" spans="2:10" x14ac:dyDescent="0.25">
      <c r="B4" s="22" t="s">
        <v>156</v>
      </c>
      <c r="C4" s="22" t="s">
        <v>196</v>
      </c>
      <c r="D4" s="21" t="s">
        <v>93</v>
      </c>
      <c r="E4" t="s">
        <v>94</v>
      </c>
      <c r="F4" s="10">
        <v>0.24</v>
      </c>
      <c r="G4" s="11">
        <f>F4</f>
        <v>0.24</v>
      </c>
      <c r="H4" s="10" t="s">
        <v>109</v>
      </c>
    </row>
    <row r="5" spans="2:10" x14ac:dyDescent="0.25">
      <c r="B5" s="22" t="s">
        <v>96</v>
      </c>
      <c r="C5" s="29" t="s">
        <v>95</v>
      </c>
      <c r="D5" s="21" t="s">
        <v>95</v>
      </c>
      <c r="E5" t="s">
        <v>97</v>
      </c>
      <c r="F5" s="10" t="s">
        <v>109</v>
      </c>
      <c r="G5" s="12">
        <v>46859.32</v>
      </c>
      <c r="H5" s="10" t="s">
        <v>136</v>
      </c>
    </row>
    <row r="6" spans="2:10" x14ac:dyDescent="0.25">
      <c r="B6" s="22" t="s">
        <v>154</v>
      </c>
      <c r="C6" s="29" t="s">
        <v>198</v>
      </c>
      <c r="D6" s="21" t="s">
        <v>98</v>
      </c>
      <c r="E6" t="s">
        <v>107</v>
      </c>
      <c r="F6" s="10" t="s">
        <v>100</v>
      </c>
      <c r="G6" s="12">
        <v>0.9</v>
      </c>
      <c r="H6" s="10" t="s">
        <v>109</v>
      </c>
      <c r="J6">
        <v>0.4</v>
      </c>
    </row>
    <row r="7" spans="2:10" x14ac:dyDescent="0.25">
      <c r="B7" s="22" t="s">
        <v>187</v>
      </c>
      <c r="C7" s="29" t="s">
        <v>199</v>
      </c>
      <c r="D7" s="21" t="s">
        <v>101</v>
      </c>
      <c r="E7" t="s">
        <v>99</v>
      </c>
      <c r="F7" s="10">
        <v>300</v>
      </c>
      <c r="G7" s="11">
        <f>F7</f>
        <v>300</v>
      </c>
      <c r="H7" s="10" t="s">
        <v>136</v>
      </c>
      <c r="J7">
        <v>0.9</v>
      </c>
    </row>
    <row r="8" spans="2:10" ht="30" x14ac:dyDescent="0.25">
      <c r="B8" s="22" t="s">
        <v>103</v>
      </c>
      <c r="C8" s="22" t="s">
        <v>200</v>
      </c>
      <c r="D8" s="10" t="s">
        <v>102</v>
      </c>
      <c r="E8" s="3" t="s">
        <v>120</v>
      </c>
      <c r="F8" s="10" t="s">
        <v>109</v>
      </c>
      <c r="G8" s="18">
        <v>30000</v>
      </c>
      <c r="H8" s="10" t="s">
        <v>145</v>
      </c>
      <c r="I8" s="5"/>
    </row>
    <row r="9" spans="2:10" ht="45" x14ac:dyDescent="0.25">
      <c r="B9" s="22" t="s">
        <v>105</v>
      </c>
      <c r="C9" s="22" t="s">
        <v>201</v>
      </c>
      <c r="D9" s="10" t="s">
        <v>104</v>
      </c>
      <c r="E9" s="3" t="s">
        <v>121</v>
      </c>
      <c r="F9" s="10" t="s">
        <v>109</v>
      </c>
      <c r="G9" s="18">
        <v>10000</v>
      </c>
      <c r="H9" s="10" t="s">
        <v>145</v>
      </c>
    </row>
    <row r="10" spans="2:10" x14ac:dyDescent="0.25">
      <c r="B10" s="29" t="s">
        <v>216</v>
      </c>
      <c r="C10" s="31" t="s">
        <v>214</v>
      </c>
      <c r="D10" s="10" t="s">
        <v>215</v>
      </c>
      <c r="E10" s="3" t="s">
        <v>202</v>
      </c>
      <c r="F10" s="10" t="s">
        <v>109</v>
      </c>
      <c r="G10" s="18" t="s">
        <v>105</v>
      </c>
      <c r="H10" s="10" t="s">
        <v>109</v>
      </c>
      <c r="J10" t="s">
        <v>103</v>
      </c>
    </row>
    <row r="11" spans="2:10" x14ac:dyDescent="0.25">
      <c r="J11" t="s">
        <v>105</v>
      </c>
    </row>
    <row r="12" spans="2:10" s="16" customFormat="1" ht="18" thickBot="1" x14ac:dyDescent="0.35">
      <c r="B12" s="23" t="s">
        <v>119</v>
      </c>
      <c r="C12" s="23"/>
      <c r="D12" s="17"/>
      <c r="F12" s="17"/>
      <c r="G12" s="17"/>
      <c r="H12" s="17"/>
    </row>
    <row r="13" spans="2:10" s="1" customFormat="1" ht="15.75" thickTop="1" x14ac:dyDescent="0.25">
      <c r="B13" s="24" t="s">
        <v>78</v>
      </c>
      <c r="C13" s="24" t="s">
        <v>188</v>
      </c>
      <c r="D13" s="15" t="s">
        <v>132</v>
      </c>
      <c r="E13" s="1" t="s">
        <v>1</v>
      </c>
      <c r="F13" s="15" t="s">
        <v>84</v>
      </c>
      <c r="G13" s="15" t="s">
        <v>134</v>
      </c>
      <c r="H13" s="15" t="s">
        <v>79</v>
      </c>
    </row>
    <row r="14" spans="2:10" x14ac:dyDescent="0.25">
      <c r="B14" s="22" t="s">
        <v>80</v>
      </c>
      <c r="C14" s="22" t="s">
        <v>81</v>
      </c>
      <c r="D14" s="10" t="s">
        <v>81</v>
      </c>
      <c r="E14" t="s">
        <v>162</v>
      </c>
      <c r="F14" s="10">
        <v>1</v>
      </c>
      <c r="G14" s="11">
        <f>F14</f>
        <v>1</v>
      </c>
      <c r="H14" s="10" t="s">
        <v>109</v>
      </c>
      <c r="I14" s="5"/>
    </row>
    <row r="15" spans="2:10" x14ac:dyDescent="0.25">
      <c r="B15" s="29" t="s">
        <v>122</v>
      </c>
      <c r="C15" s="29" t="s">
        <v>190</v>
      </c>
      <c r="D15" s="21" t="s">
        <v>123</v>
      </c>
      <c r="E15" t="s">
        <v>124</v>
      </c>
      <c r="F15" s="20">
        <f>1.33*10^-6</f>
        <v>1.33E-6</v>
      </c>
      <c r="G15" s="19">
        <f>F15</f>
        <v>1.33E-6</v>
      </c>
      <c r="H15" s="10" t="s">
        <v>143</v>
      </c>
      <c r="I15" s="5"/>
    </row>
    <row r="16" spans="2:10" x14ac:dyDescent="0.25">
      <c r="B16" s="29" t="s">
        <v>125</v>
      </c>
      <c r="C16" s="29" t="s">
        <v>191</v>
      </c>
      <c r="D16" s="21" t="s">
        <v>126</v>
      </c>
      <c r="E16" t="s">
        <v>135</v>
      </c>
      <c r="F16" s="10">
        <v>37</v>
      </c>
      <c r="G16" s="11">
        <v>37</v>
      </c>
      <c r="H16" s="21" t="s">
        <v>142</v>
      </c>
      <c r="I16" s="5"/>
    </row>
    <row r="17" spans="2:10" x14ac:dyDescent="0.25">
      <c r="B17" s="29" t="s">
        <v>128</v>
      </c>
      <c r="C17" s="29" t="s">
        <v>192</v>
      </c>
      <c r="D17" s="21" t="s">
        <v>127</v>
      </c>
      <c r="E17" t="s">
        <v>129</v>
      </c>
      <c r="F17" s="10">
        <v>0.25</v>
      </c>
      <c r="G17" s="11">
        <f>F17</f>
        <v>0.25</v>
      </c>
      <c r="H17" s="10" t="s">
        <v>109</v>
      </c>
      <c r="I17" s="5"/>
    </row>
    <row r="18" spans="2:10" x14ac:dyDescent="0.25">
      <c r="B18" s="29" t="s">
        <v>157</v>
      </c>
      <c r="C18" s="29" t="s">
        <v>193</v>
      </c>
      <c r="D18" s="21" t="s">
        <v>131</v>
      </c>
      <c r="E18" t="s">
        <v>133</v>
      </c>
      <c r="F18" s="20">
        <f>2.08*10^-4</f>
        <v>2.0800000000000001E-4</v>
      </c>
      <c r="G18" s="19">
        <f>F18</f>
        <v>2.0800000000000001E-4</v>
      </c>
      <c r="H18" s="10" t="s">
        <v>136</v>
      </c>
      <c r="I18" s="5"/>
    </row>
    <row r="19" spans="2:10" x14ac:dyDescent="0.25">
      <c r="B19" s="29" t="s">
        <v>130</v>
      </c>
      <c r="C19" s="29" t="s">
        <v>130</v>
      </c>
      <c r="D19" s="21" t="s">
        <v>139</v>
      </c>
      <c r="E19" t="s">
        <v>140</v>
      </c>
      <c r="F19" s="10">
        <v>26</v>
      </c>
      <c r="G19" s="11">
        <f>F19</f>
        <v>26</v>
      </c>
      <c r="H19" s="10" t="s">
        <v>141</v>
      </c>
      <c r="I19" s="5"/>
    </row>
    <row r="20" spans="2:10" x14ac:dyDescent="0.25">
      <c r="B20" s="22" t="s">
        <v>87</v>
      </c>
      <c r="C20" s="22" t="s">
        <v>87</v>
      </c>
      <c r="D20" s="21" t="s">
        <v>138</v>
      </c>
      <c r="E20" t="s">
        <v>88</v>
      </c>
      <c r="F20" s="10">
        <v>9.81</v>
      </c>
      <c r="G20" s="11">
        <f>F20</f>
        <v>9.81</v>
      </c>
      <c r="H20" s="10" t="s">
        <v>141</v>
      </c>
    </row>
    <row r="21" spans="2:10" x14ac:dyDescent="0.25">
      <c r="B21" s="22" t="s">
        <v>186</v>
      </c>
      <c r="C21" s="22" t="s">
        <v>194</v>
      </c>
      <c r="D21" s="10" t="s">
        <v>83</v>
      </c>
      <c r="E21" t="s">
        <v>82</v>
      </c>
      <c r="F21" s="10">
        <v>0.3</v>
      </c>
      <c r="G21" s="11">
        <f>F21</f>
        <v>0.3</v>
      </c>
      <c r="H21" s="10" t="s">
        <v>109</v>
      </c>
    </row>
    <row r="22" spans="2:10" ht="30" x14ac:dyDescent="0.25">
      <c r="B22" s="22" t="s">
        <v>85</v>
      </c>
      <c r="C22" s="22" t="s">
        <v>85</v>
      </c>
      <c r="D22" s="10" t="s">
        <v>109</v>
      </c>
      <c r="E22" s="3" t="s">
        <v>137</v>
      </c>
      <c r="F22" s="10" t="s">
        <v>86</v>
      </c>
      <c r="G22" s="14">
        <f>1/3</f>
        <v>0.33333333333333331</v>
      </c>
      <c r="H22" s="10" t="s">
        <v>109</v>
      </c>
      <c r="I22" s="5"/>
    </row>
    <row r="23" spans="2:10" x14ac:dyDescent="0.25">
      <c r="B23" s="22" t="s">
        <v>90</v>
      </c>
      <c r="C23" s="22" t="s">
        <v>89</v>
      </c>
      <c r="D23" s="21" t="s">
        <v>89</v>
      </c>
      <c r="E23" t="s">
        <v>162</v>
      </c>
      <c r="F23" s="10">
        <v>1</v>
      </c>
      <c r="G23" s="11">
        <f>F23</f>
        <v>1</v>
      </c>
      <c r="H23" s="10" t="s">
        <v>109</v>
      </c>
      <c r="I23" s="5"/>
    </row>
    <row r="24" spans="2:10" x14ac:dyDescent="0.25">
      <c r="B24" s="22" t="s">
        <v>160</v>
      </c>
      <c r="C24" s="31" t="s">
        <v>161</v>
      </c>
      <c r="D24" s="21" t="s">
        <v>161</v>
      </c>
      <c r="E24" t="s">
        <v>162</v>
      </c>
      <c r="F24" s="10">
        <v>1</v>
      </c>
      <c r="G24" s="11">
        <f>F24</f>
        <v>1</v>
      </c>
      <c r="I24" s="5"/>
    </row>
    <row r="25" spans="2:10" x14ac:dyDescent="0.25">
      <c r="B25" s="22" t="s">
        <v>92</v>
      </c>
      <c r="C25" s="22" t="s">
        <v>195</v>
      </c>
      <c r="D25" s="21" t="s">
        <v>91</v>
      </c>
      <c r="E25" t="s">
        <v>144</v>
      </c>
      <c r="F25" s="10">
        <v>0.3</v>
      </c>
      <c r="G25" s="11">
        <f>F25</f>
        <v>0.3</v>
      </c>
      <c r="H25" s="10" t="s">
        <v>109</v>
      </c>
    </row>
    <row r="27" spans="2:10" s="16" customFormat="1" ht="18" thickBot="1" x14ac:dyDescent="0.35">
      <c r="B27" s="23" t="s">
        <v>106</v>
      </c>
      <c r="C27" s="23"/>
      <c r="D27" s="17"/>
      <c r="F27" s="17"/>
      <c r="G27" s="17"/>
      <c r="H27" s="17"/>
    </row>
    <row r="28" spans="2:10" s="1" customFormat="1" ht="15.75" thickTop="1" x14ac:dyDescent="0.25">
      <c r="B28" s="24" t="s">
        <v>78</v>
      </c>
      <c r="C28" s="24" t="s">
        <v>188</v>
      </c>
      <c r="D28" s="15" t="s">
        <v>132</v>
      </c>
      <c r="E28" s="1" t="s">
        <v>1</v>
      </c>
      <c r="F28" s="15" t="s">
        <v>84</v>
      </c>
      <c r="G28" s="15" t="s">
        <v>134</v>
      </c>
      <c r="H28" s="15" t="s">
        <v>79</v>
      </c>
    </row>
    <row r="29" spans="2:10" ht="33.75" customHeight="1" x14ac:dyDescent="0.25">
      <c r="B29" s="25" t="s">
        <v>111</v>
      </c>
      <c r="C29" s="25" t="s">
        <v>197</v>
      </c>
      <c r="D29" s="10" t="s">
        <v>109</v>
      </c>
      <c r="E29" s="3" t="s">
        <v>110</v>
      </c>
      <c r="F29" s="10" t="s">
        <v>109</v>
      </c>
      <c r="G29" s="9" t="s">
        <v>113</v>
      </c>
      <c r="H29" s="10" t="s">
        <v>109</v>
      </c>
    </row>
    <row r="30" spans="2:10" x14ac:dyDescent="0.25">
      <c r="B30" s="22" t="s">
        <v>117</v>
      </c>
      <c r="C30" s="31"/>
      <c r="D30" s="10" t="s">
        <v>109</v>
      </c>
      <c r="E30" t="s">
        <v>114</v>
      </c>
      <c r="F30" s="10" t="s">
        <v>109</v>
      </c>
      <c r="G30" s="13" t="str">
        <f>IF(G29=J31,"Geohydrologisch model","TRWD2004")</f>
        <v>Geohydrologisch model</v>
      </c>
      <c r="H30" s="10" t="s">
        <v>109</v>
      </c>
      <c r="J30" t="s">
        <v>112</v>
      </c>
    </row>
    <row r="31" spans="2:10" ht="30" x14ac:dyDescent="0.25">
      <c r="B31" s="22" t="s">
        <v>115</v>
      </c>
      <c r="C31" s="31"/>
      <c r="D31" s="10" t="s">
        <v>109</v>
      </c>
      <c r="E31" s="3" t="s">
        <v>226</v>
      </c>
      <c r="F31" s="10" t="s">
        <v>109</v>
      </c>
      <c r="G31" s="13" t="str">
        <f>IF(rekenmethodiekLeklengte="Analytisch","Ondergrondscenarios","GIS-lijn")</f>
        <v>GIS-lijn</v>
      </c>
      <c r="H31" s="10" t="s">
        <v>109</v>
      </c>
      <c r="J31" t="s">
        <v>113</v>
      </c>
    </row>
    <row r="32" spans="2:10" ht="45" x14ac:dyDescent="0.25">
      <c r="B32" s="22" t="s">
        <v>116</v>
      </c>
      <c r="C32" s="31"/>
      <c r="D32" s="10" t="s">
        <v>109</v>
      </c>
      <c r="E32" s="3" t="s">
        <v>118</v>
      </c>
      <c r="F32" s="10" t="s">
        <v>109</v>
      </c>
      <c r="G32" s="13" t="str">
        <f>IF(G29=J31,"n.v.t.","Ondergrondscenario")</f>
        <v>n.v.t.</v>
      </c>
      <c r="H32" s="10" t="s">
        <v>109</v>
      </c>
    </row>
    <row r="33" spans="2:8" ht="45" customHeight="1" x14ac:dyDescent="0.25">
      <c r="B33" s="22" t="s">
        <v>146</v>
      </c>
      <c r="C33" s="22" t="s">
        <v>146</v>
      </c>
      <c r="D33" s="10" t="s">
        <v>152</v>
      </c>
      <c r="E33" s="3" t="s">
        <v>150</v>
      </c>
      <c r="F33" s="10">
        <v>0.1</v>
      </c>
      <c r="G33" s="12">
        <v>0.1</v>
      </c>
      <c r="H33" s="10" t="s">
        <v>108</v>
      </c>
    </row>
    <row r="34" spans="2:8" ht="30" x14ac:dyDescent="0.25">
      <c r="B34" s="22" t="s">
        <v>147</v>
      </c>
      <c r="C34" s="22" t="s">
        <v>147</v>
      </c>
      <c r="D34" s="10" t="s">
        <v>153</v>
      </c>
      <c r="E34" s="3" t="s">
        <v>149</v>
      </c>
      <c r="F34" s="10">
        <v>0.01</v>
      </c>
      <c r="G34" s="12">
        <v>0.01</v>
      </c>
      <c r="H34" s="10" t="s">
        <v>108</v>
      </c>
    </row>
    <row r="35" spans="2:8" ht="45" x14ac:dyDescent="0.25">
      <c r="B35" s="22" t="s">
        <v>148</v>
      </c>
      <c r="C35" s="22" t="s">
        <v>148</v>
      </c>
      <c r="D35" s="10" t="s">
        <v>109</v>
      </c>
      <c r="E35" s="3" t="s">
        <v>151</v>
      </c>
      <c r="F35" s="10">
        <v>1.5</v>
      </c>
      <c r="G35" s="12">
        <v>1.5</v>
      </c>
      <c r="H35" s="10" t="s">
        <v>136</v>
      </c>
    </row>
    <row r="37" spans="2:8" x14ac:dyDescent="0.25">
      <c r="B37" s="24" t="s">
        <v>221</v>
      </c>
    </row>
    <row r="38" spans="2:8" x14ac:dyDescent="0.25">
      <c r="B38" t="s">
        <v>109</v>
      </c>
    </row>
    <row r="39" spans="2:8" x14ac:dyDescent="0.25">
      <c r="B39" t="s">
        <v>176</v>
      </c>
    </row>
    <row r="40" spans="2:8" x14ac:dyDescent="0.25">
      <c r="B40" t="s">
        <v>177</v>
      </c>
    </row>
    <row r="41" spans="2:8" x14ac:dyDescent="0.25">
      <c r="B41" t="s">
        <v>178</v>
      </c>
    </row>
  </sheetData>
  <dataValidations count="3">
    <dataValidation type="list" allowBlank="1" showInputMessage="1" showErrorMessage="1" sqref="G29" xr:uid="{252B3BE2-7BC5-4D1F-8380-F4FFEDBB990B}">
      <formula1>$J$30:$J$31</formula1>
    </dataValidation>
    <dataValidation type="list" allowBlank="1" showInputMessage="1" showErrorMessage="1" sqref="G6" xr:uid="{55E57E6D-F8D9-4F65-991C-3A9A96E17CAF}">
      <formula1>$J$6:$J$7</formula1>
    </dataValidation>
    <dataValidation type="list" allowBlank="1" showInputMessage="1" showErrorMessage="1" sqref="G10" xr:uid="{4A7A03FD-8272-4078-B260-BE0916C216A8}">
      <formula1>Overstromingskans</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F31E7-693C-4E80-ADB5-AD5A319429FD}">
  <sheetPr codeName="Sheet4"/>
  <dimension ref="A1:I51"/>
  <sheetViews>
    <sheetView workbookViewId="0">
      <selection activeCell="A4" sqref="A4:XFD21"/>
    </sheetView>
  </sheetViews>
  <sheetFormatPr defaultRowHeight="15" x14ac:dyDescent="0.25"/>
  <cols>
    <col min="1" max="1" width="8.42578125" bestFit="1" customWidth="1"/>
    <col min="2" max="2" width="15.85546875" style="35" bestFit="1" customWidth="1"/>
    <col min="3" max="3" width="29.7109375" style="35" bestFit="1" customWidth="1"/>
    <col min="4" max="4" width="35.42578125" style="35" bestFit="1" customWidth="1"/>
    <col min="5" max="5" width="30.28515625" style="35" bestFit="1" customWidth="1"/>
    <col min="6" max="6" width="28.42578125" style="35" bestFit="1" customWidth="1"/>
    <col min="7" max="7" width="30.5703125" style="35" bestFit="1" customWidth="1"/>
    <col min="8" max="8" width="33.28515625" style="35" bestFit="1" customWidth="1"/>
    <col min="9" max="9" width="35.42578125" style="35" bestFit="1" customWidth="1"/>
  </cols>
  <sheetData>
    <row r="1" spans="1:9" x14ac:dyDescent="0.25">
      <c r="A1" t="s">
        <v>169</v>
      </c>
      <c r="B1" s="35" t="s">
        <v>170</v>
      </c>
      <c r="C1" s="35" t="s">
        <v>179</v>
      </c>
      <c r="D1" s="35" t="s">
        <v>219</v>
      </c>
      <c r="E1" s="35" t="s">
        <v>180</v>
      </c>
      <c r="F1" s="35" t="s">
        <v>181</v>
      </c>
      <c r="G1" s="35" t="s">
        <v>182</v>
      </c>
      <c r="H1" s="35" t="s">
        <v>163</v>
      </c>
      <c r="I1" s="35" t="s">
        <v>164</v>
      </c>
    </row>
    <row r="2" spans="1:9" x14ac:dyDescent="0.25">
      <c r="A2">
        <f>IFERROR(IF(DataDijkvakken[[#This Row],[Vaknaam '[-']]]="","",#REF!+1),1)</f>
        <v>1</v>
      </c>
      <c r="B2" s="36" t="s">
        <v>224</v>
      </c>
      <c r="C2" s="36">
        <v>1.1378964333333335</v>
      </c>
      <c r="D2" s="36">
        <v>18</v>
      </c>
      <c r="E2" s="36">
        <v>37.5</v>
      </c>
      <c r="F2" s="36">
        <v>15</v>
      </c>
      <c r="G2" s="36">
        <v>37.5</v>
      </c>
      <c r="H2" s="36">
        <v>2.5999999999999998E-4</v>
      </c>
      <c r="I2" s="36">
        <v>3.5000000000000005E-4</v>
      </c>
    </row>
    <row r="3" spans="1:9" x14ac:dyDescent="0.25">
      <c r="A3">
        <f>IFERROR(IF(DataDijkvakken[[#This Row],[Vaknaam '[-']]]="","",A2+1),1)</f>
        <v>2</v>
      </c>
      <c r="B3" s="36" t="s">
        <v>225</v>
      </c>
      <c r="C3" s="36">
        <v>1.3557444074074072</v>
      </c>
      <c r="D3" s="36">
        <v>18</v>
      </c>
      <c r="E3" s="36">
        <v>37.5</v>
      </c>
      <c r="F3" s="36">
        <v>15</v>
      </c>
      <c r="G3" s="36">
        <v>37.5</v>
      </c>
      <c r="H3" s="36">
        <v>2.5999999999999998E-4</v>
      </c>
      <c r="I3" s="36">
        <v>3.5000000000000005E-4</v>
      </c>
    </row>
    <row r="4" spans="1:9" x14ac:dyDescent="0.25">
      <c r="A4" t="str">
        <f>IFERROR(IF(DataDijkvakken[[#This Row],[Vaknaam '[-']]]="","",#REF!+1),1)</f>
        <v/>
      </c>
      <c r="B4" s="36"/>
      <c r="C4" s="36"/>
      <c r="D4" s="36"/>
      <c r="E4" s="36"/>
      <c r="F4" s="36"/>
      <c r="G4" s="36"/>
      <c r="H4" s="36"/>
      <c r="I4" s="36"/>
    </row>
    <row r="5" spans="1:9" x14ac:dyDescent="0.25">
      <c r="A5" t="str">
        <f>IFERROR(IF(DataDijkvakken[[#This Row],[Vaknaam '[-']]]="","",A4+1),1)</f>
        <v/>
      </c>
      <c r="B5" s="36"/>
      <c r="C5" s="36"/>
      <c r="D5" s="36"/>
      <c r="E5" s="36"/>
      <c r="F5" s="36"/>
      <c r="G5" s="36"/>
      <c r="H5" s="36"/>
      <c r="I5" s="36"/>
    </row>
    <row r="6" spans="1:9" x14ac:dyDescent="0.25">
      <c r="A6" t="str">
        <f>IFERROR(IF(DataDijkvakken[[#This Row],[Vaknaam '[-']]]="","",A5+1),1)</f>
        <v/>
      </c>
      <c r="B6" s="36"/>
      <c r="C6" s="36"/>
      <c r="D6" s="36"/>
      <c r="E6" s="36"/>
      <c r="F6" s="36"/>
      <c r="G6" s="36"/>
      <c r="H6" s="36"/>
      <c r="I6" s="36"/>
    </row>
    <row r="7" spans="1:9" x14ac:dyDescent="0.25">
      <c r="A7" t="str">
        <f>IFERROR(IF(DataDijkvakken[[#This Row],[Vaknaam '[-']]]="","",A6+1),1)</f>
        <v/>
      </c>
      <c r="B7" s="36"/>
      <c r="C7" s="36"/>
      <c r="D7" s="36"/>
      <c r="E7" s="36"/>
      <c r="F7" s="36"/>
      <c r="G7" s="36"/>
      <c r="H7" s="36"/>
      <c r="I7" s="36"/>
    </row>
    <row r="8" spans="1:9" x14ac:dyDescent="0.25">
      <c r="A8" t="str">
        <f>IFERROR(IF(DataDijkvakken[[#This Row],[Vaknaam '[-']]]="","",A7+1),1)</f>
        <v/>
      </c>
      <c r="B8" s="36"/>
      <c r="C8" s="36"/>
      <c r="D8" s="36"/>
      <c r="E8" s="36"/>
      <c r="F8" s="36"/>
      <c r="G8" s="36"/>
      <c r="H8" s="36"/>
      <c r="I8" s="36"/>
    </row>
    <row r="9" spans="1:9" x14ac:dyDescent="0.25">
      <c r="A9" t="str">
        <f>IFERROR(IF(DataDijkvakken[[#This Row],[Vaknaam '[-']]]="","",A8+1),1)</f>
        <v/>
      </c>
      <c r="B9" s="36"/>
      <c r="C9" s="36"/>
      <c r="D9" s="36"/>
      <c r="E9" s="36"/>
      <c r="F9" s="36"/>
      <c r="G9" s="36"/>
      <c r="H9" s="36"/>
      <c r="I9" s="36"/>
    </row>
    <row r="10" spans="1:9" x14ac:dyDescent="0.25">
      <c r="A10" t="str">
        <f>IFERROR(IF(DataDijkvakken[[#This Row],[Vaknaam '[-']]]="","",A9+1),1)</f>
        <v/>
      </c>
      <c r="B10" s="36"/>
      <c r="C10" s="36"/>
      <c r="D10" s="36"/>
      <c r="E10" s="36"/>
      <c r="F10" s="36"/>
      <c r="G10" s="36"/>
      <c r="H10" s="36"/>
      <c r="I10" s="36"/>
    </row>
    <row r="11" spans="1:9" x14ac:dyDescent="0.25">
      <c r="A11" t="str">
        <f>IFERROR(IF(DataDijkvakken[[#This Row],[Vaknaam '[-']]]="","",A10+1),1)</f>
        <v/>
      </c>
      <c r="B11" s="36"/>
      <c r="C11" s="36"/>
      <c r="D11" s="36"/>
      <c r="E11" s="36"/>
      <c r="F11" s="36"/>
      <c r="G11" s="36"/>
      <c r="H11" s="36"/>
      <c r="I11" s="36"/>
    </row>
    <row r="12" spans="1:9" x14ac:dyDescent="0.25">
      <c r="A12" t="str">
        <f>IFERROR(IF(DataDijkvakken[[#This Row],[Vaknaam '[-']]]="","",A11+1),1)</f>
        <v/>
      </c>
      <c r="B12" s="36"/>
      <c r="C12" s="36"/>
      <c r="D12" s="36"/>
      <c r="E12" s="36"/>
      <c r="F12" s="36"/>
      <c r="G12" s="36"/>
      <c r="H12" s="36"/>
      <c r="I12" s="36"/>
    </row>
    <row r="13" spans="1:9" x14ac:dyDescent="0.25">
      <c r="A13" t="str">
        <f>IFERROR(IF(DataDijkvakken[[#This Row],[Vaknaam '[-']]]="","",A12+1),1)</f>
        <v/>
      </c>
      <c r="B13" s="36"/>
      <c r="C13" s="36"/>
      <c r="D13" s="36"/>
      <c r="E13" s="36"/>
      <c r="F13" s="36"/>
      <c r="G13" s="36"/>
      <c r="H13" s="36"/>
      <c r="I13" s="36"/>
    </row>
    <row r="14" spans="1:9" x14ac:dyDescent="0.25">
      <c r="A14" t="str">
        <f>IFERROR(IF(DataDijkvakken[[#This Row],[Vaknaam '[-']]]="","",A13+1),1)</f>
        <v/>
      </c>
      <c r="B14" s="36"/>
      <c r="C14" s="36"/>
      <c r="D14" s="36"/>
      <c r="E14" s="36"/>
      <c r="F14" s="36"/>
      <c r="G14" s="36"/>
      <c r="H14" s="36"/>
      <c r="I14" s="36"/>
    </row>
    <row r="15" spans="1:9" x14ac:dyDescent="0.25">
      <c r="A15" t="str">
        <f>IFERROR(IF(DataDijkvakken[[#This Row],[Vaknaam '[-']]]="","",A14+1),1)</f>
        <v/>
      </c>
      <c r="B15" s="36"/>
      <c r="C15" s="36"/>
      <c r="D15" s="36"/>
      <c r="E15" s="36"/>
      <c r="F15" s="36"/>
      <c r="G15" s="36"/>
      <c r="H15" s="36"/>
      <c r="I15" s="36"/>
    </row>
    <row r="16" spans="1:9" x14ac:dyDescent="0.25">
      <c r="A16" t="str">
        <f>IFERROR(IF(DataDijkvakken[[#This Row],[Vaknaam '[-']]]="","",A15+1),1)</f>
        <v/>
      </c>
      <c r="B16" s="36"/>
      <c r="C16" s="36"/>
      <c r="D16" s="36"/>
      <c r="E16" s="36"/>
      <c r="F16" s="36"/>
      <c r="G16" s="36"/>
      <c r="H16" s="36"/>
      <c r="I16" s="36"/>
    </row>
    <row r="17" spans="1:9" x14ac:dyDescent="0.25">
      <c r="A17" t="str">
        <f>IFERROR(IF(DataDijkvakken[[#This Row],[Vaknaam '[-']]]="","",A16+1),1)</f>
        <v/>
      </c>
      <c r="B17" s="36"/>
      <c r="C17" s="36"/>
      <c r="D17" s="36"/>
      <c r="E17" s="36"/>
      <c r="F17" s="36"/>
      <c r="G17" s="36"/>
      <c r="H17" s="36"/>
      <c r="I17" s="36"/>
    </row>
    <row r="18" spans="1:9" x14ac:dyDescent="0.25">
      <c r="A18" t="str">
        <f>IFERROR(IF(DataDijkvakken[[#This Row],[Vaknaam '[-']]]="","",A17+1),1)</f>
        <v/>
      </c>
      <c r="B18" s="36"/>
      <c r="C18" s="36"/>
      <c r="D18" s="36"/>
      <c r="E18" s="36"/>
      <c r="F18" s="36"/>
      <c r="G18" s="36"/>
      <c r="H18" s="36"/>
      <c r="I18" s="36"/>
    </row>
    <row r="19" spans="1:9" x14ac:dyDescent="0.25">
      <c r="A19" t="str">
        <f>IFERROR(IF(DataDijkvakken[[#This Row],[Vaknaam '[-']]]="","",A18+1),1)</f>
        <v/>
      </c>
      <c r="B19" s="36"/>
      <c r="C19" s="36"/>
      <c r="D19" s="36"/>
      <c r="E19" s="36"/>
      <c r="F19" s="36"/>
      <c r="G19" s="36"/>
      <c r="H19" s="36"/>
      <c r="I19" s="36"/>
    </row>
    <row r="20" spans="1:9" x14ac:dyDescent="0.25">
      <c r="A20" t="str">
        <f>IFERROR(IF(DataDijkvakken[[#This Row],[Vaknaam '[-']]]="","",A19+1),1)</f>
        <v/>
      </c>
      <c r="B20" s="36"/>
      <c r="C20" s="36"/>
      <c r="D20" s="36"/>
      <c r="E20" s="36"/>
      <c r="F20" s="36"/>
      <c r="G20" s="36"/>
      <c r="H20" s="36"/>
      <c r="I20" s="36"/>
    </row>
    <row r="21" spans="1:9" x14ac:dyDescent="0.25">
      <c r="A21" t="str">
        <f>IFERROR(IF(DataDijkvakken[[#This Row],[Vaknaam '[-']]]="","",A20+1),1)</f>
        <v/>
      </c>
      <c r="B21" s="36"/>
      <c r="C21" s="36"/>
      <c r="D21" s="36"/>
      <c r="E21" s="36"/>
      <c r="F21" s="36"/>
      <c r="G21" s="36"/>
      <c r="H21" s="36"/>
      <c r="I21" s="36"/>
    </row>
    <row r="22" spans="1:9" x14ac:dyDescent="0.25">
      <c r="A22" t="str">
        <f>IFERROR(IF(DataDijkvakken[[#This Row],[Vaknaam '[-']]]="","",A21+1),1)</f>
        <v/>
      </c>
      <c r="B22" s="36"/>
      <c r="C22" s="36"/>
      <c r="D22" s="36"/>
      <c r="E22" s="36"/>
      <c r="F22" s="36"/>
      <c r="G22" s="36"/>
      <c r="H22" s="36"/>
      <c r="I22" s="36"/>
    </row>
    <row r="23" spans="1:9" x14ac:dyDescent="0.25">
      <c r="A23" t="str">
        <f>IFERROR(IF(DataDijkvakken[[#This Row],[Vaknaam '[-']]]="","",A22+1),1)</f>
        <v/>
      </c>
      <c r="B23" s="36"/>
      <c r="C23" s="36"/>
      <c r="D23" s="36"/>
      <c r="E23" s="36"/>
      <c r="F23" s="36"/>
      <c r="G23" s="36"/>
      <c r="H23" s="36"/>
      <c r="I23" s="36"/>
    </row>
    <row r="24" spans="1:9" x14ac:dyDescent="0.25">
      <c r="A24" t="str">
        <f>IFERROR(IF(DataDijkvakken[[#This Row],[Vaknaam '[-']]]="","",A23+1),1)</f>
        <v/>
      </c>
      <c r="B24" s="36"/>
      <c r="C24" s="36"/>
      <c r="D24" s="36"/>
      <c r="E24" s="36"/>
      <c r="F24" s="36"/>
      <c r="G24" s="36"/>
      <c r="H24" s="36"/>
      <c r="I24" s="36"/>
    </row>
    <row r="25" spans="1:9" x14ac:dyDescent="0.25">
      <c r="A25" t="str">
        <f>IFERROR(IF(DataDijkvakken[[#This Row],[Vaknaam '[-']]]="","",A24+1),1)</f>
        <v/>
      </c>
      <c r="B25" s="36"/>
      <c r="C25" s="36"/>
      <c r="D25" s="36"/>
      <c r="E25" s="36"/>
      <c r="F25" s="36"/>
      <c r="G25" s="36"/>
      <c r="H25" s="36"/>
      <c r="I25" s="36"/>
    </row>
    <row r="26" spans="1:9" x14ac:dyDescent="0.25">
      <c r="A26" t="str">
        <f>IFERROR(IF(DataDijkvakken[[#This Row],[Vaknaam '[-']]]="","",A25+1),1)</f>
        <v/>
      </c>
      <c r="B26" s="36"/>
      <c r="C26" s="36"/>
      <c r="D26" s="36"/>
      <c r="E26" s="36"/>
      <c r="F26" s="36"/>
      <c r="G26" s="36"/>
      <c r="H26" s="36"/>
      <c r="I26" s="36"/>
    </row>
    <row r="27" spans="1:9" x14ac:dyDescent="0.25">
      <c r="A27" t="str">
        <f>IFERROR(IF(DataDijkvakken[[#This Row],[Vaknaam '[-']]]="","",A26+1),1)</f>
        <v/>
      </c>
      <c r="B27" s="36"/>
      <c r="C27" s="36"/>
      <c r="D27" s="36"/>
      <c r="E27" s="36"/>
      <c r="F27" s="36"/>
      <c r="G27" s="36"/>
      <c r="H27" s="36"/>
      <c r="I27" s="36"/>
    </row>
    <row r="28" spans="1:9" x14ac:dyDescent="0.25">
      <c r="A28" t="str">
        <f>IFERROR(IF(DataDijkvakken[[#This Row],[Vaknaam '[-']]]="","",A27+1),1)</f>
        <v/>
      </c>
      <c r="B28" s="36"/>
      <c r="C28" s="36"/>
      <c r="D28" s="36"/>
      <c r="E28" s="36"/>
      <c r="F28" s="36"/>
      <c r="G28" s="36"/>
      <c r="H28" s="36"/>
      <c r="I28" s="36"/>
    </row>
    <row r="29" spans="1:9" x14ac:dyDescent="0.25">
      <c r="A29" t="str">
        <f>IFERROR(IF(DataDijkvakken[[#This Row],[Vaknaam '[-']]]="","",A28+1),1)</f>
        <v/>
      </c>
      <c r="B29" s="36"/>
      <c r="C29" s="36"/>
      <c r="D29" s="36"/>
      <c r="E29" s="36"/>
      <c r="F29" s="36"/>
      <c r="G29" s="36"/>
      <c r="H29" s="36"/>
      <c r="I29" s="36"/>
    </row>
    <row r="30" spans="1:9" x14ac:dyDescent="0.25">
      <c r="A30" t="str">
        <f>IFERROR(IF(DataDijkvakken[[#This Row],[Vaknaam '[-']]]="","",A29+1),1)</f>
        <v/>
      </c>
      <c r="B30" s="36"/>
      <c r="C30" s="36"/>
      <c r="D30" s="36"/>
      <c r="E30" s="36"/>
      <c r="F30" s="36"/>
      <c r="G30" s="36"/>
      <c r="H30" s="36"/>
      <c r="I30" s="36"/>
    </row>
    <row r="31" spans="1:9" x14ac:dyDescent="0.25">
      <c r="A31" t="str">
        <f>IFERROR(IF(DataDijkvakken[[#This Row],[Vaknaam '[-']]]="","",A30+1),1)</f>
        <v/>
      </c>
      <c r="B31" s="36"/>
      <c r="C31" s="36"/>
      <c r="D31" s="36"/>
      <c r="E31" s="36"/>
      <c r="F31" s="36"/>
      <c r="G31" s="36"/>
      <c r="H31" s="36"/>
      <c r="I31" s="36"/>
    </row>
    <row r="32" spans="1:9" x14ac:dyDescent="0.25">
      <c r="A32" t="str">
        <f>IFERROR(IF(DataDijkvakken[[#This Row],[Vaknaam '[-']]]="","",A31+1),1)</f>
        <v/>
      </c>
      <c r="B32" s="36"/>
      <c r="C32" s="36"/>
      <c r="D32" s="36"/>
      <c r="E32" s="36"/>
      <c r="F32" s="36"/>
      <c r="G32" s="36"/>
      <c r="H32" s="36"/>
      <c r="I32" s="36"/>
    </row>
    <row r="33" spans="1:9" x14ac:dyDescent="0.25">
      <c r="A33" t="str">
        <f>IFERROR(IF(DataDijkvakken[[#This Row],[Vaknaam '[-']]]="","",A32+1),1)</f>
        <v/>
      </c>
      <c r="B33" s="36"/>
      <c r="C33" s="36"/>
      <c r="D33" s="36"/>
      <c r="E33" s="36"/>
      <c r="F33" s="36"/>
      <c r="G33" s="36"/>
      <c r="H33" s="36"/>
      <c r="I33" s="36"/>
    </row>
    <row r="34" spans="1:9" x14ac:dyDescent="0.25">
      <c r="A34" t="str">
        <f>IFERROR(IF(DataDijkvakken[[#This Row],[Vaknaam '[-']]]="","",A33+1),1)</f>
        <v/>
      </c>
      <c r="B34" s="36"/>
      <c r="C34" s="36"/>
      <c r="D34" s="36"/>
      <c r="E34" s="36"/>
      <c r="F34" s="36"/>
      <c r="G34" s="36"/>
      <c r="H34" s="36"/>
      <c r="I34" s="36"/>
    </row>
    <row r="35" spans="1:9" x14ac:dyDescent="0.25">
      <c r="A35" t="str">
        <f>IFERROR(IF(DataDijkvakken[[#This Row],[Vaknaam '[-']]]="","",A34+1),1)</f>
        <v/>
      </c>
      <c r="B35" s="36"/>
      <c r="C35" s="36"/>
      <c r="D35" s="36"/>
      <c r="E35" s="36"/>
      <c r="F35" s="36"/>
      <c r="G35" s="36"/>
      <c r="H35" s="36"/>
      <c r="I35" s="36"/>
    </row>
    <row r="36" spans="1:9" x14ac:dyDescent="0.25">
      <c r="A36" t="str">
        <f>IFERROR(IF(DataDijkvakken[[#This Row],[Vaknaam '[-']]]="","",A35+1),1)</f>
        <v/>
      </c>
      <c r="B36" s="36"/>
      <c r="C36" s="36"/>
      <c r="D36" s="36"/>
      <c r="E36" s="36"/>
      <c r="F36" s="36"/>
      <c r="G36" s="36"/>
      <c r="H36" s="36"/>
      <c r="I36" s="36"/>
    </row>
    <row r="37" spans="1:9" x14ac:dyDescent="0.25">
      <c r="A37" t="str">
        <f>IFERROR(IF(DataDijkvakken[[#This Row],[Vaknaam '[-']]]="","",A36+1),1)</f>
        <v/>
      </c>
      <c r="B37" s="36"/>
      <c r="C37" s="36"/>
      <c r="D37" s="36"/>
      <c r="E37" s="36"/>
      <c r="F37" s="36"/>
      <c r="G37" s="36"/>
      <c r="H37" s="36"/>
      <c r="I37" s="36"/>
    </row>
    <row r="38" spans="1:9" x14ac:dyDescent="0.25">
      <c r="A38" t="str">
        <f>IFERROR(IF(DataDijkvakken[[#This Row],[Vaknaam '[-']]]="","",A37+1),1)</f>
        <v/>
      </c>
      <c r="B38" s="36"/>
      <c r="C38" s="36"/>
      <c r="D38" s="36"/>
      <c r="E38" s="36"/>
      <c r="F38" s="36"/>
      <c r="G38" s="36"/>
      <c r="H38" s="36"/>
      <c r="I38" s="36"/>
    </row>
    <row r="39" spans="1:9" x14ac:dyDescent="0.25">
      <c r="A39" t="str">
        <f>IFERROR(IF(DataDijkvakken[[#This Row],[Vaknaam '[-']]]="","",A38+1),1)</f>
        <v/>
      </c>
      <c r="B39" s="36"/>
      <c r="C39" s="36"/>
      <c r="D39" s="36"/>
      <c r="E39" s="36"/>
      <c r="F39" s="36"/>
      <c r="G39" s="36"/>
      <c r="H39" s="36"/>
      <c r="I39" s="36"/>
    </row>
    <row r="40" spans="1:9" x14ac:dyDescent="0.25">
      <c r="A40" t="str">
        <f>IFERROR(IF(DataDijkvakken[[#This Row],[Vaknaam '[-']]]="","",A39+1),1)</f>
        <v/>
      </c>
      <c r="B40" s="36"/>
      <c r="C40" s="36"/>
      <c r="D40" s="36"/>
      <c r="E40" s="36"/>
      <c r="F40" s="36"/>
      <c r="G40" s="36"/>
      <c r="H40" s="36"/>
      <c r="I40" s="36"/>
    </row>
    <row r="41" spans="1:9" x14ac:dyDescent="0.25">
      <c r="A41" t="str">
        <f>IFERROR(IF(DataDijkvakken[[#This Row],[Vaknaam '[-']]]="","",A40+1),1)</f>
        <v/>
      </c>
      <c r="B41" s="36"/>
      <c r="C41" s="36"/>
      <c r="D41" s="36"/>
      <c r="E41" s="36"/>
      <c r="F41" s="36"/>
      <c r="G41" s="36"/>
      <c r="H41" s="36"/>
      <c r="I41" s="36"/>
    </row>
    <row r="42" spans="1:9" x14ac:dyDescent="0.25">
      <c r="A42" t="str">
        <f>IFERROR(IF(DataDijkvakken[[#This Row],[Vaknaam '[-']]]="","",A41+1),1)</f>
        <v/>
      </c>
      <c r="B42" s="36"/>
      <c r="C42" s="36"/>
      <c r="D42" s="36"/>
      <c r="E42" s="36"/>
      <c r="F42" s="36"/>
      <c r="G42" s="36"/>
      <c r="H42" s="36"/>
      <c r="I42" s="36"/>
    </row>
    <row r="43" spans="1:9" x14ac:dyDescent="0.25">
      <c r="A43" t="str">
        <f>IFERROR(IF(DataDijkvakken[[#This Row],[Vaknaam '[-']]]="","",A42+1),1)</f>
        <v/>
      </c>
      <c r="B43" s="36"/>
      <c r="C43" s="36"/>
      <c r="D43" s="36"/>
      <c r="E43" s="36"/>
      <c r="F43" s="36"/>
      <c r="G43" s="36"/>
      <c r="H43" s="36"/>
      <c r="I43" s="36"/>
    </row>
    <row r="44" spans="1:9" x14ac:dyDescent="0.25">
      <c r="A44" t="str">
        <f>IFERROR(IF(DataDijkvakken[[#This Row],[Vaknaam '[-']]]="","",A43+1),1)</f>
        <v/>
      </c>
      <c r="B44" s="36"/>
      <c r="C44" s="36"/>
      <c r="D44" s="36"/>
      <c r="E44" s="36"/>
      <c r="F44" s="36"/>
      <c r="G44" s="36"/>
      <c r="H44" s="36"/>
      <c r="I44" s="36"/>
    </row>
    <row r="45" spans="1:9" x14ac:dyDescent="0.25">
      <c r="A45" t="str">
        <f>IFERROR(IF(DataDijkvakken[[#This Row],[Vaknaam '[-']]]="","",A44+1),1)</f>
        <v/>
      </c>
      <c r="B45" s="36"/>
      <c r="C45" s="36"/>
      <c r="D45" s="36"/>
      <c r="E45" s="36"/>
      <c r="F45" s="36"/>
      <c r="G45" s="36"/>
      <c r="H45" s="36"/>
      <c r="I45" s="36"/>
    </row>
    <row r="46" spans="1:9" x14ac:dyDescent="0.25">
      <c r="A46" t="str">
        <f>IFERROR(IF(DataDijkvakken[[#This Row],[Vaknaam '[-']]]="","",A45+1),1)</f>
        <v/>
      </c>
      <c r="B46" s="36"/>
      <c r="C46" s="36"/>
      <c r="D46" s="36"/>
      <c r="E46" s="36"/>
      <c r="F46" s="36"/>
      <c r="G46" s="36"/>
      <c r="H46" s="36"/>
      <c r="I46" s="36"/>
    </row>
    <row r="47" spans="1:9" x14ac:dyDescent="0.25">
      <c r="A47" t="str">
        <f>IFERROR(IF(DataDijkvakken[[#This Row],[Vaknaam '[-']]]="","",A46+1),1)</f>
        <v/>
      </c>
      <c r="B47" s="36"/>
      <c r="C47" s="36"/>
      <c r="D47" s="36"/>
      <c r="E47" s="36"/>
      <c r="F47" s="36"/>
      <c r="G47" s="36"/>
      <c r="H47" s="36"/>
      <c r="I47" s="36"/>
    </row>
    <row r="48" spans="1:9" x14ac:dyDescent="0.25">
      <c r="A48" t="str">
        <f>IFERROR(IF(DataDijkvakken[[#This Row],[Vaknaam '[-']]]="","",A47+1),1)</f>
        <v/>
      </c>
      <c r="B48" s="36"/>
      <c r="C48" s="36"/>
      <c r="D48" s="36"/>
      <c r="E48" s="36"/>
      <c r="F48" s="36"/>
      <c r="G48" s="36"/>
      <c r="H48" s="36"/>
      <c r="I48" s="36"/>
    </row>
    <row r="49" spans="1:9" x14ac:dyDescent="0.25">
      <c r="A49" t="str">
        <f>IFERROR(IF(DataDijkvakken[[#This Row],[Vaknaam '[-']]]="","",A48+1),1)</f>
        <v/>
      </c>
      <c r="B49" s="36"/>
      <c r="C49" s="36"/>
      <c r="D49" s="36"/>
      <c r="E49" s="36"/>
      <c r="F49" s="36"/>
      <c r="G49" s="36"/>
      <c r="H49" s="36"/>
      <c r="I49" s="36"/>
    </row>
    <row r="50" spans="1:9" x14ac:dyDescent="0.25">
      <c r="A50" t="str">
        <f>IFERROR(IF(DataDijkvakken[[#This Row],[Vaknaam '[-']]]="","",A49+1),1)</f>
        <v/>
      </c>
      <c r="B50" s="36"/>
      <c r="C50" s="36"/>
      <c r="D50" s="36"/>
      <c r="E50" s="36"/>
      <c r="F50" s="36"/>
      <c r="G50" s="36"/>
      <c r="H50" s="36"/>
      <c r="I50" s="36"/>
    </row>
    <row r="51" spans="1:9" x14ac:dyDescent="0.25">
      <c r="A51" t="str">
        <f>IFERROR(IF(DataDijkvakken[[#This Row],[Vaknaam '[-']]]="","",A50+1),1)</f>
        <v/>
      </c>
      <c r="B51" s="36"/>
      <c r="C51" s="36"/>
      <c r="D51" s="36"/>
      <c r="E51" s="36"/>
      <c r="F51" s="36"/>
      <c r="G51" s="36"/>
      <c r="H51" s="36"/>
      <c r="I51" s="36"/>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6F28-58B8-4ADF-9C66-13CFABEAEFC6}">
  <sheetPr codeName="Sheet5"/>
  <dimension ref="A2:AA55"/>
  <sheetViews>
    <sheetView showGridLines="0" workbookViewId="0">
      <selection activeCell="E16" sqref="E16"/>
    </sheetView>
  </sheetViews>
  <sheetFormatPr defaultRowHeight="15" x14ac:dyDescent="0.25"/>
  <cols>
    <col min="2" max="2" width="16.7109375" bestFit="1" customWidth="1"/>
    <col min="3" max="3" width="14.42578125" bestFit="1" customWidth="1"/>
    <col min="5" max="5" width="89.85546875" customWidth="1"/>
  </cols>
  <sheetData>
    <row r="2" spans="2:5" x14ac:dyDescent="0.25">
      <c r="B2" t="s">
        <v>213</v>
      </c>
      <c r="C2" t="s">
        <v>174</v>
      </c>
    </row>
    <row r="3" spans="2:5" x14ac:dyDescent="0.25">
      <c r="B3" s="8" t="s">
        <v>36</v>
      </c>
      <c r="C3" s="8" t="s">
        <v>176</v>
      </c>
    </row>
    <row r="4" spans="2:5" x14ac:dyDescent="0.25">
      <c r="B4" s="8" t="s">
        <v>37</v>
      </c>
      <c r="C4" s="8" t="s">
        <v>177</v>
      </c>
    </row>
    <row r="5" spans="2:5" x14ac:dyDescent="0.25">
      <c r="B5" s="8" t="s">
        <v>38</v>
      </c>
      <c r="C5" s="8" t="s">
        <v>178</v>
      </c>
    </row>
    <row r="6" spans="2:5" x14ac:dyDescent="0.25">
      <c r="B6" s="8" t="s">
        <v>39</v>
      </c>
      <c r="C6" s="8" t="s">
        <v>109</v>
      </c>
    </row>
    <row r="7" spans="2:5" x14ac:dyDescent="0.25">
      <c r="B7" s="8" t="s">
        <v>40</v>
      </c>
      <c r="C7" s="8" t="s">
        <v>109</v>
      </c>
    </row>
    <row r="8" spans="2:5" x14ac:dyDescent="0.25">
      <c r="B8" s="8" t="s">
        <v>41</v>
      </c>
      <c r="C8" s="8" t="s">
        <v>109</v>
      </c>
    </row>
    <row r="9" spans="2:5" x14ac:dyDescent="0.25">
      <c r="B9" s="38" t="s">
        <v>220</v>
      </c>
      <c r="C9" s="37">
        <f>MAX(DataDijkvakken!A2:A51)</f>
        <v>2</v>
      </c>
    </row>
    <row r="10" spans="2:5" ht="30" x14ac:dyDescent="0.25">
      <c r="E10" s="39" t="s">
        <v>223</v>
      </c>
    </row>
    <row r="11" spans="2:5" x14ac:dyDescent="0.25">
      <c r="E11" s="3"/>
    </row>
    <row r="12" spans="2:5" ht="45" x14ac:dyDescent="0.25">
      <c r="E12" s="3" t="s">
        <v>222</v>
      </c>
    </row>
    <row r="50" spans="1:27" x14ac:dyDescent="0.25">
      <c r="A50">
        <f>IFERROR(IF(#REF!="","",A49+1),1)</f>
        <v>1</v>
      </c>
      <c r="B50">
        <f>A55/6</f>
        <v>0.16666666666666666</v>
      </c>
      <c r="C50" t="e">
        <f>VLOOKUP(#REF!,DataDijkvakken!A:I,2,FALSE)</f>
        <v>#REF!</v>
      </c>
      <c r="D50" s="8" t="str">
        <f>GenererenScenarios!$B$3</f>
        <v>P_S1_PL</v>
      </c>
      <c r="E50" s="8" t="str">
        <f>GenererenScenarios!$C$3</f>
        <v>Pleistoceen</v>
      </c>
      <c r="F50" s="26">
        <v>0</v>
      </c>
      <c r="G50" s="30" t="e">
        <f>VLOOKUP($C50,DataDijkvakken!$B:$G,2,FALSE)</f>
        <v>#REF!</v>
      </c>
      <c r="H50" s="7"/>
      <c r="I50" s="7"/>
      <c r="J50" s="30" t="e">
        <f>IF(#REF!="-","",IF(#REF!="Pleistoceen",#REF!,#REF!))</f>
        <v>#REF!</v>
      </c>
      <c r="K50" s="30" t="str">
        <f t="shared" ref="K50:K55" si="0">IFERROR(MAX(G50-J50,0),"")</f>
        <v/>
      </c>
      <c r="L50" s="7">
        <f>IF(I50="",0,IF(#REF!="Pleistoceen",0,MAX(H50-I50,0)))</f>
        <v>0</v>
      </c>
      <c r="M50" s="30" t="e">
        <f>IF(#REF!="Tussenzandlaag",0,VLOOKUP($C50,DataDijkvakken[#All],4,FALSE))</f>
        <v>#REF!</v>
      </c>
      <c r="N50" s="30" t="e">
        <f t="shared" ref="N50:N55" si="1">MAX(M50+L50,0.1)</f>
        <v>#REF!</v>
      </c>
      <c r="O50" s="30" t="e">
        <f>VLOOKUP($C50,DataDijkvakken!$B:$G,5,FALSE)</f>
        <v>#REF!</v>
      </c>
      <c r="P50" s="30" t="e">
        <f>VLOOKUP($C50,DataDijkvakken!$B:$G,6,FALSE)</f>
        <v>#REF!</v>
      </c>
      <c r="Q50" s="30" t="e">
        <f t="shared" ref="Q50:Q55" si="2">MAX(((L50*O50)+(M50*P50))/N50,0.1)</f>
        <v>#REF!</v>
      </c>
      <c r="R50" s="30" t="e">
        <f t="shared" ref="R50:R55" si="3">N50*Q50</f>
        <v>#REF!</v>
      </c>
      <c r="S50" s="27"/>
      <c r="T50" s="33" t="e">
        <f t="shared" ref="T50:T55" si="4">SQRT(R50*S50)</f>
        <v>#REF!</v>
      </c>
      <c r="U50" s="27"/>
      <c r="V50" t="str">
        <f t="shared" ref="V50:V55" si="5">IFERROR(IF(K50&lt;grensDikte,K50/doorlatendheidDunneDeklaag,(grensDikte/doorlatendheidDunneDeklaag)+((K50-grensDikte)/doorlatendheidDikkeDeklaag)),"")</f>
        <v/>
      </c>
      <c r="W50" s="32" t="str">
        <f t="shared" ref="W50:W55" si="6">IFERROR(IF(U50="",SQRT(R50*V50),SQRT(R50*U50)),"")</f>
        <v/>
      </c>
      <c r="X50" s="34"/>
      <c r="Y50" t="e">
        <f>IF(#REF!="-","",IF(#REF!="Pleistoceen",VLOOKUP(#REF!,DataDijkvakken[#All],8,FALSE),VLOOKUP(#REF!,DataDijkvakken[#All],7,FALSE)))</f>
        <v>#REF!</v>
      </c>
      <c r="Z50" t="e">
        <f>VLOOKUP($C50,DataDijkvakken[#All],3,FALSE)</f>
        <v>#REF!</v>
      </c>
      <c r="AA50" s="8"/>
    </row>
    <row r="51" spans="1:27" x14ac:dyDescent="0.25">
      <c r="A51">
        <f>IFERROR(IF(#REF!="","",A50+1),1)</f>
        <v>1</v>
      </c>
      <c r="B51">
        <f>A55/6</f>
        <v>0.16666666666666666</v>
      </c>
      <c r="C51" t="e">
        <f>VLOOKUP(#REF!,DataDijkvakken!A:I,2,FALSE)</f>
        <v>#REF!</v>
      </c>
      <c r="D51" s="8" t="str">
        <f>GenererenScenarios!$B$4</f>
        <v>P_S2_HL_F</v>
      </c>
      <c r="E51" s="8" t="str">
        <f>GenererenScenarios!$C$4</f>
        <v>Holoceen</v>
      </c>
      <c r="F51" s="26">
        <v>0</v>
      </c>
      <c r="G51" s="30" t="e">
        <f>VLOOKUP($C51,DataDijkvakken!$B:$G,2,FALSE)</f>
        <v>#REF!</v>
      </c>
      <c r="H51" s="7"/>
      <c r="I51" s="7"/>
      <c r="J51" s="30" t="e">
        <f>IF(#REF!="-","",IF(#REF!="Pleistoceen",#REF!,#REF!))</f>
        <v>#REF!</v>
      </c>
      <c r="K51" s="30" t="str">
        <f t="shared" si="0"/>
        <v/>
      </c>
      <c r="L51" s="7">
        <f>IF(I51="",0,IF(#REF!="Pleistoceen",0,MAX(H51-I51,0)))</f>
        <v>0</v>
      </c>
      <c r="M51" s="30" t="e">
        <f>IF(#REF!="Tussenzandlaag",0,VLOOKUP($C51,DataDijkvakken[#All],4,FALSE))</f>
        <v>#REF!</v>
      </c>
      <c r="N51" s="30" t="e">
        <f t="shared" si="1"/>
        <v>#REF!</v>
      </c>
      <c r="O51" s="30" t="e">
        <f>VLOOKUP($C51,DataDijkvakken!$B:$G,5,FALSE)</f>
        <v>#REF!</v>
      </c>
      <c r="P51" s="30" t="e">
        <f>VLOOKUP($C51,DataDijkvakken!$B:$G,6,FALSE)</f>
        <v>#REF!</v>
      </c>
      <c r="Q51" s="30" t="e">
        <f t="shared" si="2"/>
        <v>#REF!</v>
      </c>
      <c r="R51" s="30" t="e">
        <f t="shared" si="3"/>
        <v>#REF!</v>
      </c>
      <c r="S51" s="27"/>
      <c r="T51" s="33" t="e">
        <f t="shared" si="4"/>
        <v>#REF!</v>
      </c>
      <c r="U51" s="27"/>
      <c r="V51" t="str">
        <f t="shared" si="5"/>
        <v/>
      </c>
      <c r="W51" s="32" t="str">
        <f t="shared" si="6"/>
        <v/>
      </c>
      <c r="X51" s="34"/>
      <c r="Y51" t="e">
        <f>IF(#REF!="-","",IF(#REF!="Pleistoceen",VLOOKUP(#REF!,DataDijkvakken[#All],8,FALSE),VLOOKUP(#REF!,DataDijkvakken[#All],7,FALSE)))</f>
        <v>#REF!</v>
      </c>
      <c r="Z51" t="e">
        <f>VLOOKUP($C51,DataDijkvakken[#All],3,FALSE)</f>
        <v>#REF!</v>
      </c>
      <c r="AA51" s="8"/>
    </row>
    <row r="52" spans="1:27" x14ac:dyDescent="0.25">
      <c r="A52">
        <f>IFERROR(IF(#REF!="","",A51+1),1)</f>
        <v>1</v>
      </c>
      <c r="B52">
        <f>A55/6</f>
        <v>0.16666666666666666</v>
      </c>
      <c r="C52" t="e">
        <f>VLOOKUP(#REF!,DataDijkvakken!A:I,2,FALSE)</f>
        <v>#REF!</v>
      </c>
      <c r="D52" s="8" t="str">
        <f>GenererenScenarios!$B$5</f>
        <v>P_S3_HL_TZ</v>
      </c>
      <c r="E52" s="8" t="str">
        <f>GenererenScenarios!$C$5</f>
        <v>Tussenzandlaag</v>
      </c>
      <c r="F52" s="26">
        <v>0</v>
      </c>
      <c r="G52" s="30" t="e">
        <f>VLOOKUP($C52,DataDijkvakken!$B:$G,2,FALSE)</f>
        <v>#REF!</v>
      </c>
      <c r="H52" s="7"/>
      <c r="I52" s="7"/>
      <c r="J52" s="30" t="e">
        <f>IF(#REF!="-","",IF(#REF!="Pleistoceen",#REF!,#REF!))</f>
        <v>#REF!</v>
      </c>
      <c r="K52" s="30" t="str">
        <f t="shared" si="0"/>
        <v/>
      </c>
      <c r="L52" s="7">
        <f>IF(I52="",0,IF(#REF!="Pleistoceen",0,MAX(H52-I52,0)))</f>
        <v>0</v>
      </c>
      <c r="M52" s="30" t="e">
        <f>IF(#REF!="Tussenzandlaag",0,VLOOKUP($C52,DataDijkvakken[#All],4,FALSE))</f>
        <v>#REF!</v>
      </c>
      <c r="N52" s="30" t="e">
        <f t="shared" si="1"/>
        <v>#REF!</v>
      </c>
      <c r="O52" s="30" t="e">
        <f>VLOOKUP($C52,DataDijkvakken!$B:$G,5,FALSE)</f>
        <v>#REF!</v>
      </c>
      <c r="P52" s="30" t="e">
        <f>VLOOKUP($C52,DataDijkvakken!$B:$G,6,FALSE)</f>
        <v>#REF!</v>
      </c>
      <c r="Q52" s="30" t="e">
        <f t="shared" si="2"/>
        <v>#REF!</v>
      </c>
      <c r="R52" s="30" t="e">
        <f t="shared" si="3"/>
        <v>#REF!</v>
      </c>
      <c r="S52" s="27"/>
      <c r="T52" s="33" t="e">
        <f t="shared" si="4"/>
        <v>#REF!</v>
      </c>
      <c r="U52" s="27"/>
      <c r="V52" t="str">
        <f t="shared" si="5"/>
        <v/>
      </c>
      <c r="W52" s="32" t="str">
        <f t="shared" si="6"/>
        <v/>
      </c>
      <c r="X52" s="34"/>
      <c r="Y52" t="e">
        <f>IF(#REF!="-","",IF(#REF!="Pleistoceen",VLOOKUP(#REF!,DataDijkvakken[#All],8,FALSE),VLOOKUP(#REF!,DataDijkvakken[#All],7,FALSE)))</f>
        <v>#REF!</v>
      </c>
      <c r="Z52" t="e">
        <f>VLOOKUP($C52,DataDijkvakken[#All],3,FALSE)</f>
        <v>#REF!</v>
      </c>
      <c r="AA52" s="8"/>
    </row>
    <row r="53" spans="1:27" x14ac:dyDescent="0.25">
      <c r="A53">
        <f>IFERROR(IF(#REF!="","",A52+1),1)</f>
        <v>1</v>
      </c>
      <c r="B53">
        <f>A55/6</f>
        <v>0.16666666666666666</v>
      </c>
      <c r="C53" t="e">
        <f>VLOOKUP(#REF!,DataDijkvakken!A:I,2,FALSE)</f>
        <v>#REF!</v>
      </c>
      <c r="D53" s="8" t="str">
        <f>GenererenScenarios!$B$6</f>
        <v>P_S4</v>
      </c>
      <c r="E53" s="8" t="str">
        <f>GenererenScenarios!$C$6</f>
        <v>-</v>
      </c>
      <c r="F53" s="26">
        <v>0</v>
      </c>
      <c r="G53" s="30" t="e">
        <f>VLOOKUP($C53,DataDijkvakken!$B:$G,2,FALSE)</f>
        <v>#REF!</v>
      </c>
      <c r="H53" s="7"/>
      <c r="I53" s="7"/>
      <c r="J53" s="30" t="e">
        <f>IF(#REF!="-","",IF(#REF!="Pleistoceen",#REF!,#REF!))</f>
        <v>#REF!</v>
      </c>
      <c r="K53" s="30" t="str">
        <f t="shared" si="0"/>
        <v/>
      </c>
      <c r="L53" s="7">
        <f>IF(I53="",0,IF(#REF!="Pleistoceen",0,MAX(H53-I53,0)))</f>
        <v>0</v>
      </c>
      <c r="M53" s="30" t="e">
        <f>IF(#REF!="Tussenzandlaag",0,VLOOKUP($C53,DataDijkvakken[#All],4,FALSE))</f>
        <v>#REF!</v>
      </c>
      <c r="N53" s="30" t="e">
        <f t="shared" si="1"/>
        <v>#REF!</v>
      </c>
      <c r="O53" s="30" t="e">
        <f>VLOOKUP($C53,DataDijkvakken!$B:$G,5,FALSE)</f>
        <v>#REF!</v>
      </c>
      <c r="P53" s="30" t="e">
        <f>VLOOKUP($C53,DataDijkvakken!$B:$G,6,FALSE)</f>
        <v>#REF!</v>
      </c>
      <c r="Q53" s="30" t="e">
        <f t="shared" si="2"/>
        <v>#REF!</v>
      </c>
      <c r="R53" s="30" t="e">
        <f t="shared" si="3"/>
        <v>#REF!</v>
      </c>
      <c r="S53" s="27"/>
      <c r="T53" s="33" t="e">
        <f t="shared" si="4"/>
        <v>#REF!</v>
      </c>
      <c r="U53" s="27"/>
      <c r="V53" t="str">
        <f t="shared" si="5"/>
        <v/>
      </c>
      <c r="W53" s="32" t="str">
        <f t="shared" si="6"/>
        <v/>
      </c>
      <c r="X53" s="34"/>
      <c r="Y53" t="e">
        <f>IF(#REF!="-","",IF(#REF!="Pleistoceen",VLOOKUP(#REF!,DataDijkvakken[#All],8,FALSE),VLOOKUP(#REF!,DataDijkvakken[#All],7,FALSE)))</f>
        <v>#REF!</v>
      </c>
      <c r="Z53" t="e">
        <f>VLOOKUP($C53,DataDijkvakken[#All],3,FALSE)</f>
        <v>#REF!</v>
      </c>
      <c r="AA53" s="8"/>
    </row>
    <row r="54" spans="1:27" x14ac:dyDescent="0.25">
      <c r="A54">
        <f>IFERROR(IF(#REF!="","",A53+1),1)</f>
        <v>1</v>
      </c>
      <c r="B54">
        <f>A55/6</f>
        <v>0.16666666666666666</v>
      </c>
      <c r="C54" t="e">
        <f>VLOOKUP(#REF!,DataDijkvakken!A:I,2,FALSE)</f>
        <v>#REF!</v>
      </c>
      <c r="D54" s="8" t="str">
        <f>GenererenScenarios!$B$7</f>
        <v>P_S5</v>
      </c>
      <c r="E54" s="8" t="str">
        <f>GenererenScenarios!$C$7</f>
        <v>-</v>
      </c>
      <c r="F54" s="26">
        <v>0</v>
      </c>
      <c r="G54" s="30" t="e">
        <f>VLOOKUP($C54,DataDijkvakken!$B:$G,2,FALSE)</f>
        <v>#REF!</v>
      </c>
      <c r="H54" s="7"/>
      <c r="I54" s="7"/>
      <c r="J54" s="30" t="e">
        <f>IF(#REF!="-","",IF(#REF!="Pleistoceen",#REF!,#REF!))</f>
        <v>#REF!</v>
      </c>
      <c r="K54" s="30" t="str">
        <f t="shared" si="0"/>
        <v/>
      </c>
      <c r="L54" s="7">
        <f>IF(I54="",0,IF(#REF!="Pleistoceen",0,MAX(H54-I54,0)))</f>
        <v>0</v>
      </c>
      <c r="M54" s="30" t="e">
        <f>IF(#REF!="Tussenzandlaag",0,VLOOKUP($C54,DataDijkvakken[#All],4,FALSE))</f>
        <v>#REF!</v>
      </c>
      <c r="N54" s="30" t="e">
        <f t="shared" si="1"/>
        <v>#REF!</v>
      </c>
      <c r="O54" s="30" t="e">
        <f>VLOOKUP($C54,DataDijkvakken!$B:$G,5,FALSE)</f>
        <v>#REF!</v>
      </c>
      <c r="P54" s="30" t="e">
        <f>VLOOKUP($C54,DataDijkvakken!$B:$G,6,FALSE)</f>
        <v>#REF!</v>
      </c>
      <c r="Q54" s="30" t="e">
        <f t="shared" si="2"/>
        <v>#REF!</v>
      </c>
      <c r="R54" s="30" t="e">
        <f t="shared" si="3"/>
        <v>#REF!</v>
      </c>
      <c r="S54" s="27"/>
      <c r="T54" s="33" t="e">
        <f t="shared" si="4"/>
        <v>#REF!</v>
      </c>
      <c r="U54" s="27"/>
      <c r="V54" t="str">
        <f t="shared" si="5"/>
        <v/>
      </c>
      <c r="W54" s="32" t="str">
        <f t="shared" si="6"/>
        <v/>
      </c>
      <c r="X54" s="34"/>
      <c r="Y54" t="e">
        <f>IF(#REF!="-","",IF(#REF!="Pleistoceen",VLOOKUP(#REF!,DataDijkvakken[#All],8,FALSE),VLOOKUP(#REF!,DataDijkvakken[#All],7,FALSE)))</f>
        <v>#REF!</v>
      </c>
      <c r="Z54" t="e">
        <f>VLOOKUP($C54,DataDijkvakken[#All],3,FALSE)</f>
        <v>#REF!</v>
      </c>
      <c r="AA54" s="8"/>
    </row>
    <row r="55" spans="1:27" x14ac:dyDescent="0.25">
      <c r="A55">
        <f>IFERROR(IF(#REF!="","",A54+1),1)</f>
        <v>1</v>
      </c>
      <c r="B55">
        <f>A55/6</f>
        <v>0.16666666666666666</v>
      </c>
      <c r="C55" t="e">
        <f>VLOOKUP(#REF!,DataDijkvakken!A:I,2,FALSE)</f>
        <v>#REF!</v>
      </c>
      <c r="D55" s="8" t="str">
        <f>GenererenScenarios!$B$8</f>
        <v>P_S6</v>
      </c>
      <c r="E55" s="8" t="str">
        <f>GenererenScenarios!$C$8</f>
        <v>-</v>
      </c>
      <c r="F55" s="26">
        <v>0</v>
      </c>
      <c r="G55" s="30" t="e">
        <f>VLOOKUP($C55,DataDijkvakken!$B:$G,2,FALSE)</f>
        <v>#REF!</v>
      </c>
      <c r="H55" s="7"/>
      <c r="I55" s="7"/>
      <c r="J55" s="30" t="e">
        <f>IF(#REF!="-","",IF(#REF!="Pleistoceen",#REF!,#REF!))</f>
        <v>#REF!</v>
      </c>
      <c r="K55" s="30" t="str">
        <f t="shared" si="0"/>
        <v/>
      </c>
      <c r="L55" s="7">
        <f>IF(I55="",0,IF(#REF!="Pleistoceen",0,MAX(H55-I55,0)))</f>
        <v>0</v>
      </c>
      <c r="M55" s="30" t="e">
        <f>IF(#REF!="Tussenzandlaag",0,VLOOKUP($C55,DataDijkvakken[#All],4,FALSE))</f>
        <v>#REF!</v>
      </c>
      <c r="N55" s="30" t="e">
        <f t="shared" si="1"/>
        <v>#REF!</v>
      </c>
      <c r="O55" s="30" t="e">
        <f>VLOOKUP($C55,DataDijkvakken!$B:$G,5,FALSE)</f>
        <v>#REF!</v>
      </c>
      <c r="P55" s="30" t="e">
        <f>VLOOKUP($C55,DataDijkvakken!$B:$G,6,FALSE)</f>
        <v>#REF!</v>
      </c>
      <c r="Q55" s="30" t="e">
        <f t="shared" si="2"/>
        <v>#REF!</v>
      </c>
      <c r="R55" s="30" t="e">
        <f t="shared" si="3"/>
        <v>#REF!</v>
      </c>
      <c r="S55" s="27"/>
      <c r="T55" s="33" t="e">
        <f t="shared" si="4"/>
        <v>#REF!</v>
      </c>
      <c r="U55" s="27"/>
      <c r="V55" t="str">
        <f t="shared" si="5"/>
        <v/>
      </c>
      <c r="W55" s="32" t="str">
        <f t="shared" si="6"/>
        <v/>
      </c>
      <c r="X55" s="34"/>
      <c r="Y55" t="e">
        <f>IF(#REF!="-","",IF(#REF!="Pleistoceen",VLOOKUP(#REF!,DataDijkvakken[#All],8,FALSE),VLOOKUP(#REF!,DataDijkvakken[#All],7,FALSE)))</f>
        <v>#REF!</v>
      </c>
      <c r="Z55" t="e">
        <f>VLOOKUP($C55,DataDijkvakken[#All],3,FALSE)</f>
        <v>#REF!</v>
      </c>
      <c r="AA55" s="8"/>
    </row>
  </sheetData>
  <dataValidations count="1">
    <dataValidation type="list" allowBlank="1" showInputMessage="1" showErrorMessage="1" sqref="C3:C8 E50:E55" xr:uid="{58FD2EC0-BD89-4AA1-8580-CF6146AC3CBA}">
      <formula1>Scenariotype</formula1>
    </dataValidation>
  </dataValidations>
  <pageMargins left="0.7" right="0.7" top="0.75" bottom="0.75" header="0.3" footer="0.3"/>
  <pageSetup paperSize="9"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L34"/>
  <sheetViews>
    <sheetView zoomScale="70" zoomScaleNormal="70" workbookViewId="0">
      <pane xSplit="2" ySplit="1" topLeftCell="C2" activePane="bottomRight" state="frozen"/>
      <selection pane="topRight" activeCell="C1" sqref="C1"/>
      <selection pane="bottomLeft" activeCell="A2" sqref="A2"/>
      <selection pane="bottomRight" activeCell="B18" sqref="B18"/>
    </sheetView>
  </sheetViews>
  <sheetFormatPr defaultRowHeight="15" x14ac:dyDescent="0.25"/>
  <cols>
    <col min="1" max="1" width="26.7109375" customWidth="1"/>
    <col min="2" max="2" width="60.28515625" bestFit="1" customWidth="1"/>
    <col min="3" max="3" width="55.5703125" customWidth="1"/>
    <col min="4" max="4" width="31" customWidth="1"/>
    <col min="5" max="5" width="87" customWidth="1"/>
    <col min="6" max="6" width="35.140625" customWidth="1"/>
    <col min="7" max="7" width="64.42578125" bestFit="1" customWidth="1"/>
    <col min="8" max="8" width="43.85546875" bestFit="1" customWidth="1"/>
    <col min="9" max="9" width="26.28515625" customWidth="1"/>
    <col min="10" max="10" width="201" bestFit="1" customWidth="1"/>
    <col min="11" max="11" width="32.5703125" customWidth="1"/>
    <col min="12" max="12" width="18.28515625" customWidth="1"/>
  </cols>
  <sheetData>
    <row r="1" spans="1:12" x14ac:dyDescent="0.25">
      <c r="A1" s="1" t="s">
        <v>57</v>
      </c>
      <c r="B1" s="1" t="s">
        <v>58</v>
      </c>
      <c r="C1" s="1" t="s">
        <v>59</v>
      </c>
      <c r="D1" s="1" t="s">
        <v>60</v>
      </c>
      <c r="E1" s="1" t="s">
        <v>0</v>
      </c>
      <c r="F1" s="1" t="s">
        <v>68</v>
      </c>
      <c r="G1" s="1" t="s">
        <v>1</v>
      </c>
      <c r="H1" s="1" t="s">
        <v>2</v>
      </c>
      <c r="I1" s="1" t="s">
        <v>46</v>
      </c>
      <c r="J1" s="1" t="s">
        <v>47</v>
      </c>
      <c r="K1" s="1" t="s">
        <v>48</v>
      </c>
      <c r="L1" s="1" t="s">
        <v>53</v>
      </c>
    </row>
    <row r="2" spans="1:12" x14ac:dyDescent="0.25">
      <c r="A2" t="s">
        <v>6</v>
      </c>
      <c r="B2" s="4" t="s">
        <v>70</v>
      </c>
      <c r="C2" t="s">
        <v>71</v>
      </c>
      <c r="D2" t="s">
        <v>72</v>
      </c>
      <c r="E2" s="3" t="s">
        <v>70</v>
      </c>
      <c r="F2" s="3" t="s">
        <v>69</v>
      </c>
      <c r="G2" s="3"/>
      <c r="H2" s="3"/>
    </row>
    <row r="3" spans="1:12" x14ac:dyDescent="0.25">
      <c r="A3" t="s">
        <v>6</v>
      </c>
      <c r="B3" t="s">
        <v>42</v>
      </c>
      <c r="C3" t="str">
        <f>B3</f>
        <v>UittredepuntenID</v>
      </c>
      <c r="D3" t="s">
        <v>5</v>
      </c>
      <c r="E3" s="3" t="s">
        <v>42</v>
      </c>
      <c r="F3" s="3" t="s">
        <v>69</v>
      </c>
      <c r="G3" s="3" t="s">
        <v>11</v>
      </c>
      <c r="H3" s="3"/>
    </row>
    <row r="4" spans="1:12" x14ac:dyDescent="0.25">
      <c r="A4" t="s">
        <v>6</v>
      </c>
      <c r="B4" t="s">
        <v>12</v>
      </c>
      <c r="C4" t="str">
        <f t="shared" ref="C4:C24" si="0">B4</f>
        <v>VakID</v>
      </c>
      <c r="D4" t="s">
        <v>15</v>
      </c>
      <c r="E4" s="3" t="s">
        <v>12</v>
      </c>
      <c r="F4" s="3" t="s">
        <v>69</v>
      </c>
      <c r="G4" s="3" t="s">
        <v>14</v>
      </c>
      <c r="H4" s="3"/>
      <c r="I4" t="s">
        <v>50</v>
      </c>
      <c r="J4" t="s">
        <v>233</v>
      </c>
      <c r="K4" t="s">
        <v>12</v>
      </c>
    </row>
    <row r="5" spans="1:12" x14ac:dyDescent="0.25">
      <c r="A5" t="s">
        <v>6</v>
      </c>
      <c r="B5" t="s">
        <v>13</v>
      </c>
      <c r="C5" t="str">
        <f t="shared" si="0"/>
        <v>Vaknaam</v>
      </c>
      <c r="D5" t="s">
        <v>15</v>
      </c>
      <c r="E5" s="3" t="s">
        <v>13</v>
      </c>
      <c r="F5" s="3" t="s">
        <v>69</v>
      </c>
      <c r="G5" s="3" t="s">
        <v>16</v>
      </c>
      <c r="H5" s="3"/>
      <c r="I5" t="s">
        <v>50</v>
      </c>
      <c r="J5" t="s">
        <v>233</v>
      </c>
      <c r="K5" t="s">
        <v>13</v>
      </c>
    </row>
    <row r="6" spans="1:12" ht="30" x14ac:dyDescent="0.25">
      <c r="A6" t="s">
        <v>6</v>
      </c>
      <c r="B6" t="s">
        <v>17</v>
      </c>
      <c r="C6" t="str">
        <f t="shared" si="0"/>
        <v>Uittredelocatie</v>
      </c>
      <c r="D6" t="s">
        <v>15</v>
      </c>
      <c r="E6" s="3" t="s">
        <v>17</v>
      </c>
      <c r="F6" s="3" t="s">
        <v>69</v>
      </c>
      <c r="G6" s="3" t="s">
        <v>19</v>
      </c>
      <c r="H6" s="3"/>
      <c r="I6" t="s">
        <v>50</v>
      </c>
      <c r="J6" t="s">
        <v>233</v>
      </c>
      <c r="K6" t="s">
        <v>17</v>
      </c>
    </row>
    <row r="7" spans="1:12" ht="30" x14ac:dyDescent="0.25">
      <c r="A7" t="s">
        <v>6</v>
      </c>
      <c r="B7" t="s">
        <v>18</v>
      </c>
      <c r="C7" t="s">
        <v>61</v>
      </c>
      <c r="D7" t="s">
        <v>15</v>
      </c>
      <c r="E7" s="3" t="s">
        <v>18</v>
      </c>
      <c r="F7" s="3" t="s">
        <v>69</v>
      </c>
      <c r="G7" s="3" t="s">
        <v>20</v>
      </c>
      <c r="H7" s="3"/>
      <c r="I7" t="s">
        <v>50</v>
      </c>
      <c r="J7" t="s">
        <v>233</v>
      </c>
      <c r="K7" s="3" t="s">
        <v>18</v>
      </c>
    </row>
    <row r="8" spans="1:12" ht="45" x14ac:dyDescent="0.25">
      <c r="A8" t="s">
        <v>6</v>
      </c>
      <c r="B8" t="s">
        <v>62</v>
      </c>
      <c r="C8" t="s">
        <v>62</v>
      </c>
      <c r="D8" t="s">
        <v>3</v>
      </c>
      <c r="E8" s="3" t="s">
        <v>21</v>
      </c>
      <c r="F8" s="3" t="s">
        <v>69</v>
      </c>
      <c r="G8" s="3" t="s">
        <v>24</v>
      </c>
      <c r="H8" s="3"/>
      <c r="I8" t="s">
        <v>50</v>
      </c>
      <c r="J8" t="s">
        <v>234</v>
      </c>
      <c r="K8" s="3" t="s">
        <v>52</v>
      </c>
    </row>
    <row r="9" spans="1:12" x14ac:dyDescent="0.25">
      <c r="A9" t="s">
        <v>6</v>
      </c>
      <c r="B9" t="s">
        <v>63</v>
      </c>
      <c r="C9" t="s">
        <v>63</v>
      </c>
      <c r="D9" t="s">
        <v>3</v>
      </c>
      <c r="E9" s="3" t="s">
        <v>22</v>
      </c>
      <c r="F9" s="3" t="s">
        <v>69</v>
      </c>
      <c r="G9" s="3" t="s">
        <v>25</v>
      </c>
      <c r="H9" s="3"/>
      <c r="I9" t="s">
        <v>50</v>
      </c>
      <c r="J9" t="s">
        <v>236</v>
      </c>
      <c r="K9" s="3" t="s">
        <v>52</v>
      </c>
    </row>
    <row r="10" spans="1:12" x14ac:dyDescent="0.25">
      <c r="A10" t="s">
        <v>6</v>
      </c>
      <c r="B10" t="s">
        <v>64</v>
      </c>
      <c r="C10" t="s">
        <v>64</v>
      </c>
      <c r="D10" t="s">
        <v>3</v>
      </c>
      <c r="E10" s="3" t="s">
        <v>23</v>
      </c>
      <c r="F10" s="3" t="s">
        <v>69</v>
      </c>
      <c r="G10" s="3" t="s">
        <v>26</v>
      </c>
      <c r="H10" s="3"/>
      <c r="I10" t="s">
        <v>50</v>
      </c>
      <c r="J10" t="s">
        <v>235</v>
      </c>
      <c r="K10" s="3" t="s">
        <v>52</v>
      </c>
    </row>
    <row r="11" spans="1:12" s="28" customFormat="1" ht="30" x14ac:dyDescent="0.25">
      <c r="A11" s="40" t="s">
        <v>6</v>
      </c>
      <c r="B11" s="40" t="s">
        <v>159</v>
      </c>
      <c r="C11" s="40" t="s">
        <v>159</v>
      </c>
      <c r="D11" s="40" t="s">
        <v>3</v>
      </c>
      <c r="E11" s="40" t="s">
        <v>158</v>
      </c>
      <c r="F11" s="41" t="s">
        <v>69</v>
      </c>
      <c r="G11" s="41" t="s">
        <v>165</v>
      </c>
      <c r="H11" s="41" t="s">
        <v>166</v>
      </c>
      <c r="I11" s="40" t="s">
        <v>50</v>
      </c>
      <c r="J11" s="40" t="s">
        <v>236</v>
      </c>
      <c r="K11" s="41" t="s">
        <v>52</v>
      </c>
      <c r="L11" s="40"/>
    </row>
    <row r="12" spans="1:12" s="6" customFormat="1" x14ac:dyDescent="0.25">
      <c r="A12" s="40" t="s">
        <v>6</v>
      </c>
      <c r="B12" s="40" t="s">
        <v>7</v>
      </c>
      <c r="C12" s="40" t="str">
        <f t="shared" si="0"/>
        <v>Bodemhoogte</v>
      </c>
      <c r="D12" s="40" t="s">
        <v>3</v>
      </c>
      <c r="E12" s="41" t="s">
        <v>8</v>
      </c>
      <c r="F12" s="41" t="s">
        <v>69</v>
      </c>
      <c r="G12" s="41" t="s">
        <v>10</v>
      </c>
      <c r="H12" s="41" t="s">
        <v>9</v>
      </c>
      <c r="I12" s="40" t="s">
        <v>50</v>
      </c>
      <c r="J12" s="40" t="s">
        <v>233</v>
      </c>
      <c r="K12" s="40" t="s">
        <v>7</v>
      </c>
      <c r="L12" s="40"/>
    </row>
    <row r="13" spans="1:12" x14ac:dyDescent="0.25">
      <c r="A13" t="s">
        <v>6</v>
      </c>
      <c r="B13" t="s">
        <v>243</v>
      </c>
      <c r="C13" t="str">
        <f t="shared" si="0"/>
        <v>WBN</v>
      </c>
      <c r="D13" t="s">
        <v>3</v>
      </c>
      <c r="E13" s="3" t="s">
        <v>27</v>
      </c>
      <c r="F13" s="3" t="s">
        <v>69</v>
      </c>
      <c r="G13" s="3" t="s">
        <v>28</v>
      </c>
      <c r="H13" s="3" t="s">
        <v>43</v>
      </c>
      <c r="I13" t="s">
        <v>50</v>
      </c>
      <c r="J13" t="s">
        <v>237</v>
      </c>
      <c r="K13" s="3" t="s">
        <v>56</v>
      </c>
    </row>
    <row r="14" spans="1:12" ht="30" x14ac:dyDescent="0.25">
      <c r="A14" t="s">
        <v>6</v>
      </c>
      <c r="B14" t="s">
        <v>29</v>
      </c>
      <c r="C14" t="str">
        <f t="shared" si="0"/>
        <v>Polderpeil</v>
      </c>
      <c r="D14" t="s">
        <v>3</v>
      </c>
      <c r="E14" s="3" t="s">
        <v>30</v>
      </c>
      <c r="F14" s="3" t="s">
        <v>69</v>
      </c>
      <c r="G14" s="3" t="s">
        <v>31</v>
      </c>
      <c r="H14" s="3" t="s">
        <v>44</v>
      </c>
      <c r="I14" t="s">
        <v>50</v>
      </c>
      <c r="J14" t="s">
        <v>233</v>
      </c>
      <c r="K14" t="s">
        <v>29</v>
      </c>
      <c r="L14" s="5"/>
    </row>
    <row r="15" spans="1:12" x14ac:dyDescent="0.25">
      <c r="A15" t="s">
        <v>6</v>
      </c>
      <c r="B15" t="s">
        <v>54</v>
      </c>
      <c r="C15" t="s">
        <v>65</v>
      </c>
      <c r="D15" t="s">
        <v>15</v>
      </c>
      <c r="E15" s="3" t="s">
        <v>55</v>
      </c>
      <c r="F15" s="3" t="s">
        <v>69</v>
      </c>
      <c r="G15" s="3"/>
      <c r="H15" s="3"/>
    </row>
    <row r="16" spans="1:12" ht="30" x14ac:dyDescent="0.25">
      <c r="A16" t="s">
        <v>6</v>
      </c>
      <c r="B16" t="s">
        <v>32</v>
      </c>
      <c r="C16" t="s">
        <v>66</v>
      </c>
      <c r="D16" t="s">
        <v>3</v>
      </c>
      <c r="E16" s="3" t="s">
        <v>34</v>
      </c>
      <c r="F16" s="3" t="s">
        <v>69</v>
      </c>
      <c r="G16" s="3"/>
      <c r="H16" s="3" t="s">
        <v>45</v>
      </c>
      <c r="I16" t="s">
        <v>50</v>
      </c>
      <c r="J16" t="s">
        <v>233</v>
      </c>
      <c r="K16" t="s">
        <v>32</v>
      </c>
    </row>
    <row r="17" spans="1:11" ht="30" x14ac:dyDescent="0.25">
      <c r="A17" t="s">
        <v>6</v>
      </c>
      <c r="B17" t="s">
        <v>33</v>
      </c>
      <c r="C17" t="s">
        <v>67</v>
      </c>
      <c r="D17" t="s">
        <v>3</v>
      </c>
      <c r="E17" s="3" t="s">
        <v>35</v>
      </c>
      <c r="F17" s="3" t="s">
        <v>69</v>
      </c>
      <c r="G17" s="3"/>
      <c r="H17" s="3" t="s">
        <v>45</v>
      </c>
      <c r="I17" t="s">
        <v>50</v>
      </c>
      <c r="J17" t="s">
        <v>233</v>
      </c>
      <c r="K17" t="s">
        <v>33</v>
      </c>
    </row>
    <row r="18" spans="1:11" x14ac:dyDescent="0.25">
      <c r="A18" t="s">
        <v>6</v>
      </c>
      <c r="B18" t="str">
        <f>GenererenScenarios!B3</f>
        <v>P_S1_PL</v>
      </c>
      <c r="C18" s="6" t="s">
        <v>36</v>
      </c>
      <c r="D18" t="s">
        <v>3</v>
      </c>
      <c r="E18" s="3" t="s">
        <v>230</v>
      </c>
      <c r="F18" s="3" t="s">
        <v>69</v>
      </c>
      <c r="G18" s="3"/>
      <c r="H18" s="3"/>
      <c r="I18" t="s">
        <v>50</v>
      </c>
      <c r="J18" t="s">
        <v>233</v>
      </c>
      <c r="K18" t="s">
        <v>36</v>
      </c>
    </row>
    <row r="19" spans="1:11" x14ac:dyDescent="0.25">
      <c r="A19" t="s">
        <v>6</v>
      </c>
      <c r="B19" t="str">
        <f>GenererenScenarios!B4</f>
        <v>P_S2_HL_F</v>
      </c>
      <c r="C19" s="6" t="s">
        <v>37</v>
      </c>
      <c r="D19" t="s">
        <v>3</v>
      </c>
      <c r="E19" s="3" t="s">
        <v>231</v>
      </c>
      <c r="F19" s="3" t="s">
        <v>69</v>
      </c>
      <c r="G19" s="3"/>
      <c r="H19" s="3"/>
      <c r="I19" t="s">
        <v>50</v>
      </c>
      <c r="J19" t="s">
        <v>233</v>
      </c>
      <c r="K19" t="s">
        <v>37</v>
      </c>
    </row>
    <row r="20" spans="1:11" x14ac:dyDescent="0.25">
      <c r="A20" t="s">
        <v>6</v>
      </c>
      <c r="B20" t="str">
        <f>GenererenScenarios!B5</f>
        <v>P_S3_HL_TZ</v>
      </c>
      <c r="C20" s="6" t="s">
        <v>38</v>
      </c>
      <c r="D20" t="s">
        <v>3</v>
      </c>
      <c r="E20" s="3" t="s">
        <v>232</v>
      </c>
      <c r="F20" s="3" t="s">
        <v>69</v>
      </c>
      <c r="G20" s="3"/>
      <c r="H20" s="3"/>
      <c r="I20" t="s">
        <v>50</v>
      </c>
      <c r="J20" t="s">
        <v>233</v>
      </c>
      <c r="K20" t="s">
        <v>38</v>
      </c>
    </row>
    <row r="21" spans="1:11" x14ac:dyDescent="0.25">
      <c r="A21" t="s">
        <v>6</v>
      </c>
      <c r="B21" t="str">
        <f>GenererenScenarios!B6</f>
        <v>P_S4</v>
      </c>
      <c r="C21" t="s">
        <v>39</v>
      </c>
      <c r="D21" t="s">
        <v>3</v>
      </c>
      <c r="E21" s="3" t="s">
        <v>227</v>
      </c>
      <c r="F21" s="3" t="s">
        <v>69</v>
      </c>
      <c r="G21" s="3"/>
    </row>
    <row r="22" spans="1:11" x14ac:dyDescent="0.25">
      <c r="A22" t="s">
        <v>6</v>
      </c>
      <c r="B22" t="str">
        <f>GenererenScenarios!B7</f>
        <v>P_S5</v>
      </c>
      <c r="C22" t="s">
        <v>40</v>
      </c>
      <c r="D22" t="s">
        <v>3</v>
      </c>
      <c r="E22" s="3" t="s">
        <v>228</v>
      </c>
      <c r="F22" s="3" t="s">
        <v>69</v>
      </c>
      <c r="G22" s="3"/>
    </row>
    <row r="23" spans="1:11" x14ac:dyDescent="0.25">
      <c r="A23" t="s">
        <v>6</v>
      </c>
      <c r="B23" t="str">
        <f>GenererenScenarios!B8</f>
        <v>P_S6</v>
      </c>
      <c r="C23" t="s">
        <v>41</v>
      </c>
      <c r="D23" t="s">
        <v>3</v>
      </c>
      <c r="E23" s="3" t="s">
        <v>229</v>
      </c>
      <c r="F23" s="3" t="s">
        <v>69</v>
      </c>
      <c r="G23" s="3"/>
    </row>
    <row r="24" spans="1:11" ht="45" x14ac:dyDescent="0.25">
      <c r="A24" t="s">
        <v>6</v>
      </c>
      <c r="B24" t="s">
        <v>74</v>
      </c>
      <c r="C24" t="str">
        <f t="shared" si="0"/>
        <v>Stijghoogte_GeohydrologischModel</v>
      </c>
      <c r="D24" t="s">
        <v>3</v>
      </c>
      <c r="E24" s="3" t="s">
        <v>75</v>
      </c>
      <c r="F24" s="3" t="s">
        <v>69</v>
      </c>
      <c r="G24" s="3" t="s">
        <v>76</v>
      </c>
      <c r="I24" t="s">
        <v>49</v>
      </c>
      <c r="J24" t="s">
        <v>238</v>
      </c>
    </row>
    <row r="25" spans="1:11" ht="45" x14ac:dyDescent="0.25">
      <c r="A25" t="s">
        <v>6</v>
      </c>
      <c r="B25" t="s">
        <v>242</v>
      </c>
      <c r="C25" t="s">
        <v>73</v>
      </c>
      <c r="D25" t="s">
        <v>3</v>
      </c>
      <c r="E25" s="3" t="s">
        <v>77</v>
      </c>
      <c r="F25" s="3" t="s">
        <v>69</v>
      </c>
      <c r="G25" s="3" t="s">
        <v>76</v>
      </c>
      <c r="I25" t="s">
        <v>50</v>
      </c>
      <c r="J25" t="s">
        <v>239</v>
      </c>
      <c r="K25" t="s">
        <v>52</v>
      </c>
    </row>
    <row r="31" spans="1:11" ht="15" customHeight="1" x14ac:dyDescent="0.25"/>
    <row r="32" spans="1:11" ht="15" customHeight="1" x14ac:dyDescent="0.25"/>
    <row r="33" ht="15" customHeight="1" x14ac:dyDescent="0.25"/>
    <row r="34" ht="15" customHeight="1" x14ac:dyDescent="0.25"/>
  </sheetData>
  <dataValidations count="2">
    <dataValidation type="list" allowBlank="1" showInputMessage="1" showErrorMessage="1" sqref="I2 I4:I25" xr:uid="{032FF166-06F8-47C0-8B25-CAF80CB53BFA}">
      <formula1>KoppelingTypen</formula1>
    </dataValidation>
    <dataValidation type="list" allowBlank="1" showInputMessage="1" showErrorMessage="1" sqref="D90:D97 D2:D25" xr:uid="{00000000-0002-0000-0000-000001000000}">
      <formula1>Fieldtypes</formula1>
    </dataValidation>
  </dataValidations>
  <hyperlinks>
    <hyperlink ref="B2" r:id="rId1" display="Shape@" xr:uid="{1EC1B06A-8407-41B3-B83A-9C07948819A8}"/>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21451-D212-496A-9F5F-F68D6EC2C999}">
  <dimension ref="A1:AA13"/>
  <sheetViews>
    <sheetView workbookViewId="0">
      <selection sqref="A1:XFD1048576"/>
    </sheetView>
  </sheetViews>
  <sheetFormatPr defaultRowHeight="15" x14ac:dyDescent="0.25"/>
  <sheetData>
    <row r="1" spans="1:27" x14ac:dyDescent="0.25">
      <c r="A1" t="s">
        <v>168</v>
      </c>
      <c r="B1" t="s">
        <v>169</v>
      </c>
      <c r="C1" t="s">
        <v>170</v>
      </c>
      <c r="D1" t="s">
        <v>171</v>
      </c>
      <c r="E1" t="s">
        <v>175</v>
      </c>
      <c r="F1" t="s">
        <v>172</v>
      </c>
      <c r="G1" t="s">
        <v>173</v>
      </c>
      <c r="H1" t="s">
        <v>183</v>
      </c>
      <c r="I1" t="s">
        <v>184</v>
      </c>
      <c r="J1" t="s">
        <v>185</v>
      </c>
      <c r="K1" t="s">
        <v>217</v>
      </c>
      <c r="L1" t="s">
        <v>189</v>
      </c>
      <c r="M1" t="s">
        <v>180</v>
      </c>
      <c r="N1" t="s">
        <v>204</v>
      </c>
      <c r="O1" t="s">
        <v>205</v>
      </c>
      <c r="P1" t="s">
        <v>182</v>
      </c>
      <c r="Q1" t="s">
        <v>206</v>
      </c>
      <c r="R1" t="s">
        <v>207</v>
      </c>
      <c r="S1" t="s">
        <v>210</v>
      </c>
      <c r="T1" t="s">
        <v>212</v>
      </c>
      <c r="U1" t="s">
        <v>208</v>
      </c>
      <c r="V1" t="s">
        <v>209</v>
      </c>
      <c r="W1" t="s">
        <v>211</v>
      </c>
      <c r="X1" t="s">
        <v>203</v>
      </c>
      <c r="Y1" t="s">
        <v>167</v>
      </c>
      <c r="Z1" t="s">
        <v>219</v>
      </c>
      <c r="AA1" t="s">
        <v>218</v>
      </c>
    </row>
    <row r="2" spans="1:27" x14ac:dyDescent="0.25">
      <c r="A2">
        <v>187</v>
      </c>
      <c r="B2">
        <v>50</v>
      </c>
      <c r="C2" t="s">
        <v>224</v>
      </c>
      <c r="D2" t="s">
        <v>36</v>
      </c>
      <c r="E2" t="s">
        <v>176</v>
      </c>
      <c r="F2">
        <v>1</v>
      </c>
      <c r="G2">
        <v>1.1378964333333335</v>
      </c>
      <c r="J2">
        <v>-6.5</v>
      </c>
      <c r="K2">
        <v>7.6378964333333332</v>
      </c>
      <c r="L2">
        <v>0</v>
      </c>
      <c r="M2">
        <v>37.5</v>
      </c>
      <c r="N2">
        <v>37.5</v>
      </c>
      <c r="O2">
        <v>15</v>
      </c>
      <c r="P2">
        <v>37.5</v>
      </c>
      <c r="Q2">
        <v>37.5</v>
      </c>
      <c r="R2">
        <v>1406.25</v>
      </c>
      <c r="S2">
        <v>10</v>
      </c>
      <c r="T2">
        <v>118.58541225631423</v>
      </c>
      <c r="V2">
        <v>628.78964333333329</v>
      </c>
      <c r="W2">
        <v>940.33793709362806</v>
      </c>
      <c r="X2">
        <v>2500</v>
      </c>
      <c r="Y2">
        <v>3.5000000000000005E-4</v>
      </c>
      <c r="Z2">
        <v>18</v>
      </c>
    </row>
    <row r="3" spans="1:27" x14ac:dyDescent="0.25">
      <c r="A3">
        <v>188</v>
      </c>
      <c r="B3">
        <v>50</v>
      </c>
      <c r="C3" t="s">
        <v>224</v>
      </c>
      <c r="D3" t="s">
        <v>37</v>
      </c>
      <c r="E3" t="s">
        <v>177</v>
      </c>
      <c r="F3">
        <v>0</v>
      </c>
      <c r="G3">
        <v>1.1378964333333335</v>
      </c>
      <c r="K3">
        <v>1.1378964333333335</v>
      </c>
      <c r="M3">
        <v>37.5</v>
      </c>
      <c r="N3">
        <v>37.5</v>
      </c>
      <c r="O3">
        <v>15</v>
      </c>
      <c r="P3">
        <v>37.5</v>
      </c>
      <c r="Q3">
        <v>37.5</v>
      </c>
      <c r="R3">
        <v>1406.25</v>
      </c>
      <c r="S3">
        <v>10</v>
      </c>
      <c r="T3">
        <v>118.58541225631423</v>
      </c>
      <c r="V3">
        <v>11.378964333333334</v>
      </c>
      <c r="W3">
        <v>126.49770193070702</v>
      </c>
      <c r="X3">
        <v>2500</v>
      </c>
      <c r="Y3">
        <v>2.5999999999999998E-4</v>
      </c>
      <c r="Z3">
        <v>18</v>
      </c>
    </row>
    <row r="4" spans="1:27" x14ac:dyDescent="0.25">
      <c r="A4">
        <v>189</v>
      </c>
      <c r="B4">
        <v>50</v>
      </c>
      <c r="C4" t="s">
        <v>224</v>
      </c>
      <c r="D4" t="s">
        <v>38</v>
      </c>
      <c r="E4" t="s">
        <v>178</v>
      </c>
      <c r="F4">
        <v>0</v>
      </c>
      <c r="G4">
        <v>1.1378964333333335</v>
      </c>
      <c r="K4">
        <v>1.1378964333333335</v>
      </c>
      <c r="M4">
        <v>0</v>
      </c>
      <c r="N4">
        <v>0.1</v>
      </c>
      <c r="O4">
        <v>15</v>
      </c>
      <c r="P4">
        <v>37.5</v>
      </c>
      <c r="Q4">
        <v>0.1</v>
      </c>
      <c r="R4">
        <v>1.0000000000000002E-2</v>
      </c>
      <c r="S4">
        <v>10</v>
      </c>
      <c r="T4">
        <v>0.31622776601683794</v>
      </c>
      <c r="V4">
        <v>11.378964333333334</v>
      </c>
      <c r="W4">
        <v>0.33732720514855208</v>
      </c>
      <c r="X4">
        <v>2500</v>
      </c>
      <c r="Y4">
        <v>2.5999999999999998E-4</v>
      </c>
      <c r="Z4">
        <v>18</v>
      </c>
    </row>
    <row r="5" spans="1:27" x14ac:dyDescent="0.25">
      <c r="A5">
        <v>190</v>
      </c>
      <c r="B5">
        <v>50</v>
      </c>
      <c r="C5" t="s">
        <v>224</v>
      </c>
      <c r="D5" t="s">
        <v>39</v>
      </c>
      <c r="E5" t="s">
        <v>109</v>
      </c>
      <c r="F5">
        <v>0</v>
      </c>
      <c r="G5">
        <v>1.1378964333333335</v>
      </c>
      <c r="K5">
        <v>1.1378964333333335</v>
      </c>
      <c r="M5">
        <v>37.5</v>
      </c>
      <c r="N5">
        <v>37.5</v>
      </c>
      <c r="O5">
        <v>15</v>
      </c>
      <c r="P5">
        <v>37.5</v>
      </c>
      <c r="Q5">
        <v>37.5</v>
      </c>
      <c r="R5">
        <v>1406.25</v>
      </c>
      <c r="S5">
        <v>10</v>
      </c>
      <c r="T5">
        <v>118.58541225631423</v>
      </c>
      <c r="V5">
        <v>11.378964333333334</v>
      </c>
      <c r="W5">
        <v>126.49770193070702</v>
      </c>
      <c r="X5">
        <v>2500</v>
      </c>
      <c r="Y5" t="s">
        <v>241</v>
      </c>
      <c r="Z5">
        <v>18</v>
      </c>
    </row>
    <row r="6" spans="1:27" x14ac:dyDescent="0.25">
      <c r="A6">
        <v>191</v>
      </c>
      <c r="B6">
        <v>50</v>
      </c>
      <c r="C6" t="s">
        <v>224</v>
      </c>
      <c r="D6" t="s">
        <v>40</v>
      </c>
      <c r="E6" t="s">
        <v>109</v>
      </c>
      <c r="F6">
        <v>0</v>
      </c>
      <c r="G6">
        <v>1.1378964333333335</v>
      </c>
      <c r="K6">
        <v>1.1378964333333335</v>
      </c>
      <c r="M6">
        <v>37.5</v>
      </c>
      <c r="N6">
        <v>37.5</v>
      </c>
      <c r="O6">
        <v>15</v>
      </c>
      <c r="P6">
        <v>37.5</v>
      </c>
      <c r="Q6">
        <v>37.5</v>
      </c>
      <c r="R6">
        <v>1406.25</v>
      </c>
      <c r="S6">
        <v>10</v>
      </c>
      <c r="T6">
        <v>118.58541225631423</v>
      </c>
      <c r="V6">
        <v>11.378964333333334</v>
      </c>
      <c r="W6">
        <v>126.49770193070702</v>
      </c>
      <c r="X6">
        <v>2500</v>
      </c>
      <c r="Y6" t="s">
        <v>241</v>
      </c>
      <c r="Z6">
        <v>18</v>
      </c>
    </row>
    <row r="7" spans="1:27" x14ac:dyDescent="0.25">
      <c r="A7">
        <v>192</v>
      </c>
      <c r="B7">
        <v>50</v>
      </c>
      <c r="C7" t="s">
        <v>224</v>
      </c>
      <c r="D7" t="s">
        <v>41</v>
      </c>
      <c r="E7" t="s">
        <v>109</v>
      </c>
      <c r="F7">
        <v>0</v>
      </c>
      <c r="G7">
        <v>1.1378964333333335</v>
      </c>
      <c r="K7">
        <v>1.1378964333333335</v>
      </c>
      <c r="M7">
        <v>37.5</v>
      </c>
      <c r="N7">
        <v>37.5</v>
      </c>
      <c r="O7">
        <v>15</v>
      </c>
      <c r="P7">
        <v>37.5</v>
      </c>
      <c r="Q7">
        <v>37.5</v>
      </c>
      <c r="R7">
        <v>1406.25</v>
      </c>
      <c r="S7">
        <v>10</v>
      </c>
      <c r="T7">
        <v>118.58541225631423</v>
      </c>
      <c r="V7">
        <v>11.378964333333334</v>
      </c>
      <c r="W7">
        <v>126.49770193070702</v>
      </c>
      <c r="X7">
        <v>2500</v>
      </c>
      <c r="Y7" t="s">
        <v>241</v>
      </c>
      <c r="Z7">
        <v>18</v>
      </c>
    </row>
    <row r="8" spans="1:27" x14ac:dyDescent="0.25">
      <c r="A8">
        <v>193</v>
      </c>
      <c r="B8">
        <v>51</v>
      </c>
      <c r="C8" t="s">
        <v>225</v>
      </c>
      <c r="D8" t="s">
        <v>36</v>
      </c>
      <c r="E8" t="s">
        <v>176</v>
      </c>
      <c r="F8">
        <v>0.5</v>
      </c>
      <c r="G8">
        <v>1.3557444074074072</v>
      </c>
      <c r="J8">
        <v>-7</v>
      </c>
      <c r="K8">
        <v>8.355744407407407</v>
      </c>
      <c r="L8">
        <v>0</v>
      </c>
      <c r="M8">
        <v>37.5</v>
      </c>
      <c r="N8">
        <v>37.5</v>
      </c>
      <c r="O8">
        <v>15</v>
      </c>
      <c r="P8">
        <v>37.5</v>
      </c>
      <c r="Q8">
        <v>37.5</v>
      </c>
      <c r="R8">
        <v>1406.25</v>
      </c>
      <c r="S8">
        <v>10</v>
      </c>
      <c r="T8">
        <v>118.58541225631423</v>
      </c>
      <c r="V8">
        <v>700.57444074074067</v>
      </c>
      <c r="W8">
        <v>992.56375477430493</v>
      </c>
      <c r="X8">
        <v>2500</v>
      </c>
      <c r="Y8">
        <v>3.5000000000000005E-4</v>
      </c>
      <c r="Z8">
        <v>18</v>
      </c>
    </row>
    <row r="9" spans="1:27" x14ac:dyDescent="0.25">
      <c r="A9">
        <v>194</v>
      </c>
      <c r="B9">
        <v>51</v>
      </c>
      <c r="C9" t="s">
        <v>225</v>
      </c>
      <c r="D9" t="s">
        <v>37</v>
      </c>
      <c r="E9" t="s">
        <v>177</v>
      </c>
      <c r="F9">
        <v>0.5</v>
      </c>
      <c r="G9">
        <v>1.3557444074074072</v>
      </c>
      <c r="J9">
        <v>-1</v>
      </c>
      <c r="K9">
        <v>2.355744407407407</v>
      </c>
      <c r="L9">
        <v>6</v>
      </c>
      <c r="M9">
        <v>37.5</v>
      </c>
      <c r="N9">
        <v>43.5</v>
      </c>
      <c r="O9">
        <v>15</v>
      </c>
      <c r="P9">
        <v>37.5</v>
      </c>
      <c r="Q9">
        <v>34.396551724137929</v>
      </c>
      <c r="R9">
        <v>1496.25</v>
      </c>
      <c r="S9">
        <v>10</v>
      </c>
      <c r="T9">
        <v>122.32129822725068</v>
      </c>
      <c r="V9">
        <v>100.5744407407407</v>
      </c>
      <c r="W9">
        <v>387.92332613331371</v>
      </c>
      <c r="X9">
        <v>2500</v>
      </c>
      <c r="Y9">
        <v>2.5999999999999998E-4</v>
      </c>
      <c r="Z9">
        <v>18</v>
      </c>
    </row>
    <row r="10" spans="1:27" x14ac:dyDescent="0.25">
      <c r="A10">
        <v>195</v>
      </c>
      <c r="B10">
        <v>51</v>
      </c>
      <c r="C10" t="s">
        <v>225</v>
      </c>
      <c r="D10" t="s">
        <v>38</v>
      </c>
      <c r="E10" t="s">
        <v>178</v>
      </c>
      <c r="F10">
        <v>0</v>
      </c>
      <c r="G10">
        <v>1.3557444074074072</v>
      </c>
      <c r="K10">
        <v>1.3557444074074072</v>
      </c>
      <c r="M10">
        <v>0</v>
      </c>
      <c r="N10">
        <v>0.1</v>
      </c>
      <c r="O10">
        <v>15</v>
      </c>
      <c r="P10">
        <v>37.5</v>
      </c>
      <c r="Q10">
        <v>0.1</v>
      </c>
      <c r="R10">
        <v>1.0000000000000002E-2</v>
      </c>
      <c r="S10">
        <v>10</v>
      </c>
      <c r="T10">
        <v>0.31622776601683794</v>
      </c>
      <c r="V10">
        <v>13.557444074074072</v>
      </c>
      <c r="W10">
        <v>0.3682043464446621</v>
      </c>
      <c r="X10">
        <v>2500</v>
      </c>
      <c r="Y10">
        <v>2.5999999999999998E-4</v>
      </c>
      <c r="Z10">
        <v>18</v>
      </c>
    </row>
    <row r="11" spans="1:27" x14ac:dyDescent="0.25">
      <c r="A11">
        <v>196</v>
      </c>
      <c r="B11">
        <v>51</v>
      </c>
      <c r="C11" t="s">
        <v>225</v>
      </c>
      <c r="D11" t="s">
        <v>39</v>
      </c>
      <c r="E11" t="s">
        <v>109</v>
      </c>
      <c r="F11">
        <v>0</v>
      </c>
      <c r="G11">
        <v>1.3557444074074072</v>
      </c>
      <c r="K11">
        <v>1.3557444074074072</v>
      </c>
      <c r="M11">
        <v>37.5</v>
      </c>
      <c r="N11">
        <v>37.5</v>
      </c>
      <c r="O11">
        <v>15</v>
      </c>
      <c r="P11">
        <v>37.5</v>
      </c>
      <c r="Q11">
        <v>37.5</v>
      </c>
      <c r="R11">
        <v>1406.25</v>
      </c>
      <c r="S11">
        <v>10</v>
      </c>
      <c r="T11">
        <v>118.58541225631423</v>
      </c>
      <c r="V11">
        <v>13.557444074074072</v>
      </c>
      <c r="W11">
        <v>138.07662991674829</v>
      </c>
      <c r="X11">
        <v>2500</v>
      </c>
      <c r="Y11" t="s">
        <v>241</v>
      </c>
      <c r="Z11">
        <v>18</v>
      </c>
    </row>
    <row r="12" spans="1:27" x14ac:dyDescent="0.25">
      <c r="A12">
        <v>197</v>
      </c>
      <c r="B12">
        <v>51</v>
      </c>
      <c r="C12" t="s">
        <v>225</v>
      </c>
      <c r="D12" t="s">
        <v>40</v>
      </c>
      <c r="E12" t="s">
        <v>109</v>
      </c>
      <c r="F12">
        <v>0</v>
      </c>
      <c r="G12">
        <v>1.3557444074074072</v>
      </c>
      <c r="K12">
        <v>1.3557444074074072</v>
      </c>
      <c r="M12">
        <v>37.5</v>
      </c>
      <c r="N12">
        <v>37.5</v>
      </c>
      <c r="O12">
        <v>15</v>
      </c>
      <c r="P12">
        <v>37.5</v>
      </c>
      <c r="Q12">
        <v>37.5</v>
      </c>
      <c r="R12">
        <v>1406.25</v>
      </c>
      <c r="S12">
        <v>10</v>
      </c>
      <c r="T12">
        <v>118.58541225631423</v>
      </c>
      <c r="V12">
        <v>13.557444074074072</v>
      </c>
      <c r="W12">
        <v>138.07662991674829</v>
      </c>
      <c r="X12">
        <v>2500</v>
      </c>
      <c r="Y12" t="s">
        <v>241</v>
      </c>
      <c r="Z12">
        <v>18</v>
      </c>
    </row>
    <row r="13" spans="1:27" x14ac:dyDescent="0.25">
      <c r="A13">
        <v>198</v>
      </c>
      <c r="B13">
        <v>51</v>
      </c>
      <c r="C13" t="s">
        <v>225</v>
      </c>
      <c r="D13" t="s">
        <v>41</v>
      </c>
      <c r="E13" t="s">
        <v>109</v>
      </c>
      <c r="F13">
        <v>0</v>
      </c>
      <c r="G13">
        <v>1.3557444074074072</v>
      </c>
      <c r="K13">
        <v>1.3557444074074072</v>
      </c>
      <c r="M13">
        <v>37.5</v>
      </c>
      <c r="N13">
        <v>37.5</v>
      </c>
      <c r="O13">
        <v>15</v>
      </c>
      <c r="P13">
        <v>37.5</v>
      </c>
      <c r="Q13">
        <v>37.5</v>
      </c>
      <c r="R13">
        <v>1406.25</v>
      </c>
      <c r="S13">
        <v>10</v>
      </c>
      <c r="T13">
        <v>118.58541225631423</v>
      </c>
      <c r="V13">
        <v>13.557444074074072</v>
      </c>
      <c r="W13">
        <v>138.07662991674829</v>
      </c>
      <c r="X13">
        <v>2500</v>
      </c>
      <c r="Y13" t="s">
        <v>241</v>
      </c>
      <c r="Z13">
        <v>18</v>
      </c>
    </row>
  </sheetData>
  <dataValidations count="1">
    <dataValidation type="list" allowBlank="1" showInputMessage="1" showErrorMessage="1" sqref="E2:E13" xr:uid="{B49EF88C-14AC-4869-96C6-858A0027C50D}">
      <formula1>Scenariotype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5"/>
  <sheetViews>
    <sheetView workbookViewId="0">
      <selection activeCell="B1" sqref="B1:B3"/>
    </sheetView>
  </sheetViews>
  <sheetFormatPr defaultRowHeight="15" x14ac:dyDescent="0.25"/>
  <cols>
    <col min="1" max="1" width="34.85546875" customWidth="1"/>
    <col min="2" max="2" width="32.7109375" customWidth="1"/>
  </cols>
  <sheetData>
    <row r="1" spans="1:2" x14ac:dyDescent="0.25">
      <c r="A1" s="2" t="str">
        <f>"TEKST"</f>
        <v>TEKST</v>
      </c>
      <c r="B1" t="s">
        <v>49</v>
      </c>
    </row>
    <row r="2" spans="1:2" x14ac:dyDescent="0.25">
      <c r="A2" t="s">
        <v>3</v>
      </c>
      <c r="B2" t="s">
        <v>50</v>
      </c>
    </row>
    <row r="3" spans="1:2" x14ac:dyDescent="0.25">
      <c r="A3" t="s">
        <v>5</v>
      </c>
      <c r="B3" t="s">
        <v>51</v>
      </c>
    </row>
    <row r="4" spans="1:2" x14ac:dyDescent="0.25">
      <c r="A4" t="s">
        <v>4</v>
      </c>
    </row>
    <row r="5" spans="1:2" x14ac:dyDescent="0.25">
      <c r="A5" t="s">
        <v>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36</vt:i4>
      </vt:variant>
    </vt:vector>
  </HeadingPairs>
  <TitlesOfParts>
    <vt:vector size="43" baseType="lpstr">
      <vt:lpstr>Bestandspaden</vt:lpstr>
      <vt:lpstr>CalculationSettings</vt:lpstr>
      <vt:lpstr>DataDijkvakken</vt:lpstr>
      <vt:lpstr>GenererenScenarios</vt:lpstr>
      <vt:lpstr>InputsUittredepunten</vt:lpstr>
      <vt:lpstr>Ondergrondscenarios</vt:lpstr>
      <vt:lpstr>Lookup</vt:lpstr>
      <vt:lpstr>a_l</vt:lpstr>
      <vt:lpstr>AantalDijkvakken</vt:lpstr>
      <vt:lpstr>b_l</vt:lpstr>
      <vt:lpstr>coefficient_white</vt:lpstr>
      <vt:lpstr>d70_ref</vt:lpstr>
      <vt:lpstr>doorlatendheidDikkeDeklaag</vt:lpstr>
      <vt:lpstr>doorlatendheidDunneDeklaag</vt:lpstr>
      <vt:lpstr>Fieldtypes</vt:lpstr>
      <vt:lpstr>gamma_p</vt:lpstr>
      <vt:lpstr>gamma_w</vt:lpstr>
      <vt:lpstr>grensDikte</vt:lpstr>
      <vt:lpstr>i_c_h</vt:lpstr>
      <vt:lpstr>KoppelingTypen</vt:lpstr>
      <vt:lpstr>L</vt:lpstr>
      <vt:lpstr>m_he</vt:lpstr>
      <vt:lpstr>m_p</vt:lpstr>
      <vt:lpstr>m_u</vt:lpstr>
      <vt:lpstr>MaxRatioPipeLengteKwelweglengte</vt:lpstr>
      <vt:lpstr>Overstromingskans</vt:lpstr>
      <vt:lpstr>rekenmethodiekLeklengte</vt:lpstr>
      <vt:lpstr>Return_eis_ond</vt:lpstr>
      <vt:lpstr>Return_eis_selectie</vt:lpstr>
      <vt:lpstr>Return_eis_sign</vt:lpstr>
      <vt:lpstr>RootFolderInput</vt:lpstr>
      <vt:lpstr>Scenario1</vt:lpstr>
      <vt:lpstr>Scenario2</vt:lpstr>
      <vt:lpstr>Scenario3</vt:lpstr>
      <vt:lpstr>Scenario4</vt:lpstr>
      <vt:lpstr>Scenario5</vt:lpstr>
      <vt:lpstr>Scenario6</vt:lpstr>
      <vt:lpstr>Scenarionamen</vt:lpstr>
      <vt:lpstr>Scenariotype</vt:lpstr>
      <vt:lpstr>SchoneRijen</vt:lpstr>
      <vt:lpstr>theta</vt:lpstr>
      <vt:lpstr>visc</vt:lpstr>
      <vt:lpstr>w</vt:lpstr>
    </vt:vector>
  </TitlesOfParts>
  <Company>Royal Haskoning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Dirk Voesenek</dc:creator>
  <cp:lastModifiedBy>Dirk Voesenek</cp:lastModifiedBy>
  <dcterms:created xsi:type="dcterms:W3CDTF">2016-08-24T07:56:22Z</dcterms:created>
  <dcterms:modified xsi:type="dcterms:W3CDTF">2021-04-12T11:15:22Z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70ecb400-4b25-455b-ae14-cf8d7136e40b</vt:lpwstr>
  </property>
</Properties>
</file>