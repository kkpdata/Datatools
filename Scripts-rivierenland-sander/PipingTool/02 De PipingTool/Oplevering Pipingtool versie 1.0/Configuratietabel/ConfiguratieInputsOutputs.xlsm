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en\BH2549 - Pipingtool\Scripts\BH2549_Pipingtool\Configuratietabel\"/>
    </mc:Choice>
  </mc:AlternateContent>
  <xr:revisionPtr revIDLastSave="0" documentId="13_ncr:1_{AD5DB9EC-0CF5-41CE-B787-0C3B17816968}" xr6:coauthVersionLast="44" xr6:coauthVersionMax="44" xr10:uidLastSave="{00000000-0000-0000-0000-000000000000}"/>
  <bookViews>
    <workbookView xWindow="-120" yWindow="-120" windowWidth="29040" windowHeight="15840" tabRatio="846" xr2:uid="{00000000-000D-0000-FFFF-FFFF00000000}"/>
  </bookViews>
  <sheets>
    <sheet name="InputsOndergrondscenarios" sheetId="11" r:id="rId1"/>
    <sheet name="Outputs" sheetId="8" r:id="rId2"/>
    <sheet name="Lookup" sheetId="2" state="hidden" r:id="rId3"/>
  </sheets>
  <definedNames>
    <definedName name="_xlnm._FilterDatabase" localSheetId="1" hidden="1">Outputs!$A$1:$N$93</definedName>
    <definedName name="a_l">#REF!</definedName>
    <definedName name="AantalDijkvakken">#REF!</definedName>
    <definedName name="b_l">#REF!</definedName>
    <definedName name="ClearScenarios">#REF!</definedName>
    <definedName name="coefficient_white">#REF!</definedName>
    <definedName name="d70_ref">#REF!</definedName>
    <definedName name="doorlatendheidDikkeDeklaag">#REF!</definedName>
    <definedName name="doorlatendheidDunneDeklaag">#REF!</definedName>
    <definedName name="Fieldtypes">Lookup!$A$1:$A$5</definedName>
    <definedName name="gamma_p">#REF!</definedName>
    <definedName name="gamma_w">#REF!</definedName>
    <definedName name="grensDikte">#REF!</definedName>
    <definedName name="i_c_h">#REF!</definedName>
    <definedName name="KoppelingTypen">Lookup!$B$1:$B$3</definedName>
    <definedName name="L">#REF!</definedName>
    <definedName name="m_he">#REF!</definedName>
    <definedName name="m_p">#REF!</definedName>
    <definedName name="m_u">#REF!</definedName>
    <definedName name="MaxRatioPipeLengteKwelweglengte">#REF!</definedName>
    <definedName name="Overstromingskans">#REF!</definedName>
    <definedName name="rekenmethodiekLeklengte">#REF!</definedName>
    <definedName name="Return_eis_ond">#REF!</definedName>
    <definedName name="Return_eis_selectie">#REF!</definedName>
    <definedName name="Return_eis_sign">#REF!</definedName>
    <definedName name="RootFolderInput">#REF!</definedName>
    <definedName name="Scenario1">#REF!</definedName>
    <definedName name="Scenario2">#REF!</definedName>
    <definedName name="Scenario3">#REF!</definedName>
    <definedName name="Scenario4">#REF!</definedName>
    <definedName name="Scenario5">#REF!</definedName>
    <definedName name="Scenario6">#REF!</definedName>
    <definedName name="ScenarioCopy">#REF!</definedName>
    <definedName name="Scenarionamen">#REF!</definedName>
    <definedName name="Scenariotype">#REF!</definedName>
    <definedName name="SchoneRijen">#REF!</definedName>
    <definedName name="theta">#REF!</definedName>
    <definedName name="visc">#REF!</definedName>
    <definedName name="w">#REF!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 i="2" l="1"/>
  <c r="B53" i="8"/>
  <c r="B52" i="8"/>
  <c r="B51" i="8"/>
  <c r="B49" i="8"/>
  <c r="B48" i="8"/>
  <c r="B47" i="8"/>
  <c r="B46" i="8"/>
  <c r="B45" i="8"/>
  <c r="B44" i="8"/>
  <c r="B43" i="8"/>
  <c r="B40" i="8"/>
  <c r="C38" i="8"/>
  <c r="B37" i="8"/>
  <c r="C34" i="8"/>
  <c r="B33" i="8"/>
  <c r="B32" i="8"/>
  <c r="B31" i="8"/>
  <c r="B20" i="8"/>
  <c r="C18" i="8"/>
  <c r="B17" i="8"/>
  <c r="C16" i="8"/>
  <c r="B15" i="8"/>
  <c r="C1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tc={E33FA713-CC39-4E33-9044-51C8A161C9C1}</author>
    <author>tc={94309E76-943B-4F35-B8BF-9923DC72F821}</author>
    <author>tc={620957BF-6D69-4008-90D1-B2A524F260E4}</author>
    <author>tc={5124C1F7-5FD9-4BB8-91EA-97375E8FC979}</author>
    <author>tc={6411F367-56CE-48CF-BD6F-776AF4A3FCDD}</author>
    <author>tc={C18097CF-70A9-4103-8A63-661FCD9542DF}</author>
  </authors>
  <commentList>
    <comment ref="B1" authorId="0" shapeId="0" xr:uid="{E33FA713-CC39-4E33-9044-51C8A161C9C1}">
      <text>
        <t>[Threaded comment]
Your version of Excel allows you to read this threaded comment; however, any edits to it will get removed if the file is opened in a newer version of Excel. Learn more: https://go.microsoft.com/fwlink/?linkid=870924
Comment:
    Naam van de kolom in de excel/GIS tabel. Zit in dit geval in dit excelbestand</t>
      </text>
    </comment>
    <comment ref="C1" authorId="1" shapeId="0" xr:uid="{94309E76-943B-4F35-B8BF-9923DC72F821}">
      <text>
        <t>[Threaded comment]
Your version of Excel allows you to read this threaded comment; however, any edits to it will get removed if the file is opened in a newer version of Excel. Learn more: https://go.microsoft.com/fwlink/?linkid=870924
Comment:
    NIet aanpassen. Wordt in de rekencode gebruikt</t>
      </text>
    </comment>
    <comment ref="C11" authorId="2" shapeId="0" xr:uid="{620957BF-6D69-4008-90D1-B2A524F260E4}">
      <text>
        <t>[Threaded comment]
Your version of Excel allows you to read this threaded comment; however, any edits to it will get removed if the file is opened in a newer version of Excel. Learn more: https://go.microsoft.com/fwlink/?linkid=870924
Comment:
    moet aangepast worden naar Top_Zand_Vak</t>
      </text>
    </comment>
    <comment ref="C13" authorId="3" shapeId="0" xr:uid="{5124C1F7-5FD9-4BB8-91EA-97375E8FC979}">
      <text>
        <t>[Threaded comment]
Your version of Excel allows you to read this threaded comment; however, any edits to it will get removed if the file is opened in a newer version of Excel. Learn more: https://go.microsoft.com/fwlink/?linkid=870924
Comment:
    dit is nu wel een erg vreemde naam</t>
      </text>
    </comment>
    <comment ref="C14" authorId="4" shapeId="0" xr:uid="{6411F367-56CE-48CF-BD6F-776AF4A3FCDD}">
      <text>
        <t>[Threaded comment]
Your version of Excel allows you to read this threaded comment; however, any edits to it will get removed if the file is opened in a newer version of Excel. Learn more: https://go.microsoft.com/fwlink/?linkid=870924
Comment:
    Dit is nu wel een erg vreemde naam</t>
      </text>
    </comment>
    <comment ref="A17" authorId="5" shapeId="0" xr:uid="{C18097CF-70A9-4103-8A63-661FCD9542DF}">
      <text>
        <t>[Threaded comment]
Your version of Excel allows you to read this threaded comment; however, any edits to it will get removed if the file is opened in a newer version of Excel. Learn more: https://go.microsoft.com/fwlink/?linkid=870924
Comment:
    Deze moeten aangepast worden. We gaan toe naar 1 pleistocene doorlatendheid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tc={683B7223-A4C5-404F-A738-D9F5485F3A7A}</author>
    <author>tc={208CC288-C348-4F45-A0F3-FDD2E2A2A8E2}</author>
    <author>tc={7F2F9E52-EFE2-459C-BA48-F1D04DF35BB6}</author>
    <author>tc={14F6CAC8-4B54-426E-91FB-B5A06460B496}</author>
    <author>tc={99E2C828-B36C-4671-92A6-35E2D1695607}</author>
    <author>tc={49681AB3-DF67-49F1-89D7-A01EAC0BEA4A}</author>
    <author>tc={1E63782C-AE38-4242-8C2F-C75B9E6DF6C5}</author>
    <author>tc={C76A948C-16BF-42D9-BAC0-53A9F940F27C}</author>
    <author>tc={EC232FAF-8A31-41F5-8198-DA8E95102028}</author>
  </authors>
  <commentList>
    <comment ref="A2" authorId="0" shapeId="0" xr:uid="{683B7223-A4C5-404F-A738-D9F5485F3A7A}">
      <text>
        <t>[Threaded comment]
Your version of Excel allows you to read this threaded comment; however, any edits to it will get removed if the file is opened in a newer version of Excel. Learn more: https://go.microsoft.com/fwlink/?linkid=870924
Comment:
    Ik zie deze ook staan bij inputsUittredepunten is dit een merge van die twee tabellen oid?? nu niet helemaal duidelijk</t>
      </text>
    </comment>
    <comment ref="E23" authorId="1" shapeId="0" xr:uid="{208CC288-C348-4F45-A0F3-FDD2E2A2A8E2}">
      <text>
        <t>[Threaded comment]
Your version of Excel allows you to read this threaded comment; however, any edits to it will get removed if the file is opened in a newer version of Excel. Learn more: https://go.microsoft.com/fwlink/?linkid=870924
Comment:
    Staat al genoemd in "InputsOndergrondscenarios" Hier is de pleistocene zandlaag nog onderverdeeld in 2 delen. Deze gaan wij nu samenvoegen. Komt dus uiteindelijk wel vanuit InputsOndergrondscenarios</t>
      </text>
    </comment>
    <comment ref="E24" authorId="2" shapeId="0" xr:uid="{7F2F9E52-EFE2-459C-BA48-F1D04DF35BB6}">
      <text>
        <t>[Threaded comment]
Your version of Excel allows you to read this threaded comment; however, any edits to it will get removed if the file is opened in a newer version of Excel. Learn more: https://go.microsoft.com/fwlink/?linkid=870924
Comment:
    Staat al genoemd in "InputsOndergrondscenarios" Hier is de pleistocene zandlaag nog onderverdeeld in 2 delen. Deze gaan wij nu samenvoegen. Komt dus uiteindelijk wel vanuit InputsOndergrondscenarios</t>
      </text>
    </comment>
    <comment ref="E33" authorId="3" shapeId="0" xr:uid="{14F6CAC8-4B54-426E-91FB-B5A06460B496}">
      <text>
        <t>[Threaded comment]
Your version of Excel allows you to read this threaded comment; however, any edits to it will get removed if the file is opened in a newer version of Excel. Learn more: https://go.microsoft.com/fwlink/?linkid=870924
Comment:
    indien gerekend is met een geohydrologisch model is deze n.v.t.</t>
      </text>
    </comment>
    <comment ref="E61" authorId="4" shapeId="0" xr:uid="{99E2C828-B36C-4671-92A6-35E2D1695607}">
      <text>
        <t>[Threaded comment]
Your version of Excel allows you to read this threaded comment; however, any edits to it will get removed if the file is opened in a newer version of Excel. Learn more: https://go.microsoft.com/fwlink/?linkid=870924
Comment:
    Nieuwe lijn. Deze afstand moet gebruikt gaan worden in de toetst van de kritieke pijplengte</t>
      </text>
    </comment>
    <comment ref="B71" authorId="5" shapeId="0" xr:uid="{49681AB3-DF67-49F1-89D7-A01EAC0BEA4A}">
      <text>
        <t>[Threaded comment]
Your version of Excel allows you to read this threaded comment; however, any edits to it will get removed if the file is opened in a newer version of Excel. Learn more: https://go.microsoft.com/fwlink/?linkid=870924
Comment:
    Bestaat al wel als faalkans</t>
      </text>
    </comment>
    <comment ref="E71" authorId="6" shapeId="0" xr:uid="{1E63782C-AE38-4242-8C2F-C75B9E6DF6C5}">
      <text>
        <t>[Threaded comment]
Your version of Excel allows you to read this threaded comment; however, any edits to it will get removed if the file is opened in a newer version of Excel. Learn more: https://go.microsoft.com/fwlink/?linkid=870924
Comment:
    Bestaat al wel als faalkans</t>
      </text>
    </comment>
    <comment ref="B72" authorId="7" shapeId="0" xr:uid="{C76A948C-16BF-42D9-BAC0-53A9F940F27C}">
      <text>
        <t>[Threaded comment]
Your version of Excel allows you to read this threaded comment; however, any edits to it will get removed if the file is opened in a newer version of Excel. Learn more: https://go.microsoft.com/fwlink/?linkid=870924
Comment:
    Bestaat al wel als faalkans</t>
      </text>
    </comment>
    <comment ref="E72" authorId="8" shapeId="0" xr:uid="{EC232FAF-8A31-41F5-8198-DA8E95102028}">
      <text>
        <t>[Threaded comment]
Your version of Excel allows you to read this threaded comment; however, any edits to it will get removed if the file is opened in a newer version of Excel. Learn more: https://go.microsoft.com/fwlink/?linkid=870924
Comment:
    Bestaat al wel als faalkans</t>
      </text>
    </comment>
  </commentList>
</comments>
</file>

<file path=xl/sharedStrings.xml><?xml version="1.0" encoding="utf-8"?>
<sst xmlns="http://schemas.openxmlformats.org/spreadsheetml/2006/main" count="709" uniqueCount="279">
  <si>
    <t>Alias</t>
  </si>
  <si>
    <t>Omschrijving</t>
  </si>
  <si>
    <t>Bron</t>
  </si>
  <si>
    <t>DOUBLE</t>
  </si>
  <si>
    <t>DATE</t>
  </si>
  <si>
    <t>INTEGER</t>
  </si>
  <si>
    <t>Uittredepunten</t>
  </si>
  <si>
    <t>Bodemhoogte</t>
  </si>
  <si>
    <t>AHN3 plus aanvullende metingen en aannames</t>
  </si>
  <si>
    <t>VakID</t>
  </si>
  <si>
    <t>Vaknaam</t>
  </si>
  <si>
    <t>TEKST</t>
  </si>
  <si>
    <t>Uittredelocatie</t>
  </si>
  <si>
    <t>Opmerking_uittredepunt</t>
  </si>
  <si>
    <t>DIST_L_GEOM</t>
  </si>
  <si>
    <t>DIST_BUT</t>
  </si>
  <si>
    <t>DIST_BIT</t>
  </si>
  <si>
    <t>Afstand tot buitenteen [m]</t>
  </si>
  <si>
    <t>Polderpeil</t>
  </si>
  <si>
    <t>Ondergrondscenario</t>
  </si>
  <si>
    <t>OndergrondscenarioID</t>
  </si>
  <si>
    <t>UittredepuntenID</t>
  </si>
  <si>
    <t>Uniek nummer van het ondergrondscenario</t>
  </si>
  <si>
    <t>Scenarionaam</t>
  </si>
  <si>
    <t>Domeinwaarden: S1_PL, S2_HL_F, S3_HL_TZ, S4, S5, S6</t>
  </si>
  <si>
    <t>Scenariokans_vak</t>
  </si>
  <si>
    <t>Globale scenariokans van het scenario</t>
  </si>
  <si>
    <t>gamma_sat_cover_vak</t>
  </si>
  <si>
    <t>Dikte_WVP</t>
  </si>
  <si>
    <t>kD_WVP</t>
  </si>
  <si>
    <t>k_WVP</t>
  </si>
  <si>
    <t>Weerstand_C3_achterland</t>
  </si>
  <si>
    <t>Weerstand_C1_voorland</t>
  </si>
  <si>
    <t>Leklengte_voorland</t>
  </si>
  <si>
    <t>D70</t>
  </si>
  <si>
    <t>Koppeling tussen tabel Ondergrondscenario en Vak</t>
  </si>
  <si>
    <t>Naam van het geotechnische vak waarin het ondergrondscenario geldig is.</t>
  </si>
  <si>
    <t>Globale kans van het scenario op vakniveau. Dit geeft richting aan de lokale scenariokansen op uittredeniveau</t>
  </si>
  <si>
    <t xml:space="preserve">Representatieve bodemhoogte vak gebruikt als referentieniveau voor het bepalen van de weerstand van het achterland </t>
  </si>
  <si>
    <t>D70 van het zand [m]</t>
  </si>
  <si>
    <t>Gemiddeld volumegewicht van de deklaag binnen het vak [kN/m3]</t>
  </si>
  <si>
    <t>Representatieve dikte van de deklaag voor het ondergrondscenario binnen het vak [m]</t>
  </si>
  <si>
    <t>Representatieve top van het zand van het ondergrondscenario binnen het vak [m t.o.v. NAP]</t>
  </si>
  <si>
    <t>Representatieve bodemhoogte van het vak [m t.o.v. NAP]</t>
  </si>
  <si>
    <t>Dit veld wordt berekend uit het veld "bodemhoogte_vak" en "Top_zand"</t>
  </si>
  <si>
    <t>Gemiddeld volumegwicht van de deklaag binnen het vak. Het gemiddelde volumegewicht is gecorreleerd aan de dikte van het scenario binnen het vak</t>
  </si>
  <si>
    <t>D70-percentiel van het zand. Default waarden op basis van VNK-2</t>
  </si>
  <si>
    <t>Dikte van het watervoerende pakket [m]</t>
  </si>
  <si>
    <t>kD-waarde van het watervoerende zandpakket [m2/dag]</t>
  </si>
  <si>
    <t>Totale transmissiviteit van het watervoerende zandpakket, berekend op basis van de bovenstaande velden</t>
  </si>
  <si>
    <t>Representatieve doorlatendheid van het watervoerende pakket [m/d]</t>
  </si>
  <si>
    <t>Dit veld wordt berekend door kD_WVP / Dikte_WVP</t>
  </si>
  <si>
    <t>Opmerking ondergrondscenario</t>
  </si>
  <si>
    <t>Standaard: berekening op basis van Weerstand achterland</t>
  </si>
  <si>
    <t>Inschatting op basis van geotechnische lengteprofielen en default waarden WBI-SOS</t>
  </si>
  <si>
    <t>Op basis van interpretatie van WBI-SOS en lengteprofielen. Bij tussenzandlangen kies je de bovengrenswaarde van de dikte</t>
  </si>
  <si>
    <t>Regis, MORIA</t>
  </si>
  <si>
    <t>schematiseringshandleiding Piping</t>
  </si>
  <si>
    <t>Inschatting op basis van uitgevoerde boringen</t>
  </si>
  <si>
    <t>geotechnische lengteprofielen en WBI-SOS</t>
  </si>
  <si>
    <t>geotechnische lengteprofielen en WBI-SOS, aangevuld met inzichten uit Regis</t>
  </si>
  <si>
    <t>Alleen relevant indien analytische formules worden gebruikt voor de theoretische potentiaalverloop. Weerstand wordt berekend op basis van de dikte van de deklaag in het achterland in het ondergrondscenario. En standaardwaarden voor doorlatendheid</t>
  </si>
  <si>
    <t>TypeKoppeling</t>
  </si>
  <si>
    <t>InputBestand</t>
  </si>
  <si>
    <t>InputVeldnaam</t>
  </si>
  <si>
    <t>RasterWaarde</t>
  </si>
  <si>
    <t>SpatialJoin</t>
  </si>
  <si>
    <t>Specifiek</t>
  </si>
  <si>
    <t>WhereClause</t>
  </si>
  <si>
    <t>TableName</t>
  </si>
  <si>
    <t>FieldName</t>
  </si>
  <si>
    <t>PropertyName</t>
  </si>
  <si>
    <t>FieldType</t>
  </si>
  <si>
    <t>OpmerkingUittredepunt</t>
  </si>
  <si>
    <t>GeometrischeKwelweglengte</t>
  </si>
  <si>
    <t>AfstandBuitenteen</t>
  </si>
  <si>
    <t>AfstandBinnenteen</t>
  </si>
  <si>
    <t>Direction</t>
  </si>
  <si>
    <t>Input</t>
  </si>
  <si>
    <t>Shape</t>
  </si>
  <si>
    <t>UittredePointShape</t>
  </si>
  <si>
    <t>SHAPE</t>
  </si>
  <si>
    <t>LeklengteVoorland</t>
  </si>
  <si>
    <t>LeklengteAchterland</t>
  </si>
  <si>
    <t>DikteDeklaag</t>
  </si>
  <si>
    <t>GeometrischeVoorlandLengte</t>
  </si>
  <si>
    <t>Geometrische voorlandlengte [m]</t>
  </si>
  <si>
    <t>DijkzateLengte</t>
  </si>
  <si>
    <t>Dijkzate [m]</t>
  </si>
  <si>
    <t>GeometrischeAchterlandLengte</t>
  </si>
  <si>
    <t>Geometrische achterlandlengte [m]</t>
  </si>
  <si>
    <t>EffectieveVoorlandLengte</t>
  </si>
  <si>
    <t>Effectieve voorlandlengte [m]</t>
  </si>
  <si>
    <t>FreatischNiveauUittredepunt</t>
  </si>
  <si>
    <t>LengteKwelweg</t>
  </si>
  <si>
    <t>GereduceerdOptredendVerval</t>
  </si>
  <si>
    <t>StijghoogteWaterVoerendPakketBijUittredepunt</t>
  </si>
  <si>
    <t>StabiliteitsFactorOpbarsten</t>
  </si>
  <si>
    <t>BetrouwbaarheidsIndexOpbarsten</t>
  </si>
  <si>
    <t>Betrouwbaarheidsindex opbarsten [-]</t>
  </si>
  <si>
    <t>ScenarioFaalkansOpbarsten</t>
  </si>
  <si>
    <t>Scenariofaalkans opbarsten [1/jaar]</t>
  </si>
  <si>
    <t>StabiliteitsFactorHeave</t>
  </si>
  <si>
    <t>BetrouwbaarheidsIndexHeave</t>
  </si>
  <si>
    <t>Betrouwbaarheidsindex heave [-]</t>
  </si>
  <si>
    <t>ScenarioFaalkansHeave</t>
  </si>
  <si>
    <t>Scenariofaalkans heave [1/jaar]</t>
  </si>
  <si>
    <t>StabiliteitsFactorPiping</t>
  </si>
  <si>
    <t>BetrouwbaarheidsIndexPiping</t>
  </si>
  <si>
    <t>Betrouwbaarheidsindex piping [-]</t>
  </si>
  <si>
    <t>ScenarioFaalkansPiping</t>
  </si>
  <si>
    <t>Scenariofaalkans piping [1/jaar]</t>
  </si>
  <si>
    <t>BepalendMechanismeFaalkansScenario</t>
  </si>
  <si>
    <t>Bepalend mechanisme faalkans scenario</t>
  </si>
  <si>
    <t>CategorieToetsoordeel</t>
  </si>
  <si>
    <t>Output</t>
  </si>
  <si>
    <t>ResultaatPipingCategorie</t>
  </si>
  <si>
    <t>MaxFaalkansScenario</t>
  </si>
  <si>
    <t>Maximale Faalkans Scenario [1/jaar]</t>
  </si>
  <si>
    <t>BenodigdeKwelweglengte</t>
  </si>
  <si>
    <t>MaatgevendDijkbasisOordeel</t>
  </si>
  <si>
    <t>Eindoordeel</t>
  </si>
  <si>
    <t>Geometrische lengte van het achterland [m]</t>
  </si>
  <si>
    <t>OpnemenInOutput</t>
  </si>
  <si>
    <t>TopZandVoorBerekening</t>
  </si>
  <si>
    <t>Dikte deklaag [m]</t>
  </si>
  <si>
    <t>Spreidingslengte_achterland</t>
  </si>
  <si>
    <t>UittredepuntID</t>
  </si>
  <si>
    <t>BetaMaatgevendeScenario</t>
  </si>
  <si>
    <t>BetaDoorsnedeEis</t>
  </si>
  <si>
    <t>BetaDoorsnedeKans</t>
  </si>
  <si>
    <r>
      <t>UnityCheck</t>
    </r>
    <r>
      <rPr>
        <b/>
        <sz val="11"/>
        <color theme="1"/>
        <rFont val="Calibri"/>
        <family val="2"/>
        <scheme val="minor"/>
      </rPr>
      <t>Beta</t>
    </r>
    <r>
      <rPr>
        <sz val="11"/>
        <color theme="1"/>
        <rFont val="Calibri"/>
        <family val="2"/>
        <scheme val="minor"/>
      </rPr>
      <t>DoorsnedeEis</t>
    </r>
  </si>
  <si>
    <t>Toetsoordeel volgens categorie indeling WBI [-]</t>
  </si>
  <si>
    <t>Unity Check Beta doorsnede eis [-]</t>
  </si>
  <si>
    <t>MaximaleEffectieveKwelweglengte</t>
  </si>
  <si>
    <t>Maximale benodigde kwelweglengte [m]</t>
  </si>
  <si>
    <t>MaxBenodigdeKwelweglengte</t>
  </si>
  <si>
    <t>nieuw</t>
  </si>
  <si>
    <t>bestaande aangepast</t>
  </si>
  <si>
    <t>verwijderd</t>
  </si>
  <si>
    <t>MaximaalKwelweglengteTekort</t>
  </si>
  <si>
    <t>Maximaal kwelweglengte tekort [m]</t>
  </si>
  <si>
    <t>Afstand tot grens kritieke pipelengte [m]</t>
  </si>
  <si>
    <t>AfstandGrensKritiekePipelengte</t>
  </si>
  <si>
    <t>MaximaleKritiekePipelengte</t>
  </si>
  <si>
    <t>Maximale kritieke pijplengte [m]</t>
  </si>
  <si>
    <t>MaximaleKritiekePipelengteTekort</t>
  </si>
  <si>
    <t>Maximale kritieke pijplengte tekort [m]</t>
  </si>
  <si>
    <t>OordeelKritiekePipelengte</t>
  </si>
  <si>
    <t>Oordeel kritieke pipelengte [-]</t>
  </si>
  <si>
    <t>Eindoordeel volgens categorie indeling WBI [-]</t>
  </si>
  <si>
    <t>Opmerking uittredepunt</t>
  </si>
  <si>
    <t>Globaal of lokaal scenario</t>
  </si>
  <si>
    <t>GlobaalLokaal</t>
  </si>
  <si>
    <t>Bodemhoogte [m NAP]</t>
  </si>
  <si>
    <t>Polderpeil [m NAP]</t>
  </si>
  <si>
    <t>Verval [m]</t>
  </si>
  <si>
    <t>Verval - 0.3d [m]</t>
  </si>
  <si>
    <t>Dikte holocene zandlaag [m]</t>
  </si>
  <si>
    <t>Dikte pleistocene zandlaag [m]</t>
  </si>
  <si>
    <t>Dikte watervoerendpakket [m]</t>
  </si>
  <si>
    <t>kD-waarde watervoerendpakket [m2/dag]</t>
  </si>
  <si>
    <t>Afstand tot binnenteen [m]</t>
  </si>
  <si>
    <t>Afstand tot geometrische intredelijn [m]</t>
  </si>
  <si>
    <t>Weerstand voorland [dagen]</t>
  </si>
  <si>
    <t>Korrelgrootte d70 [m]</t>
  </si>
  <si>
    <t>Volumegewicht deklaag [kN/m3]</t>
  </si>
  <si>
    <t>Effectieve kwelweglengte [m]</t>
  </si>
  <si>
    <t>Stabiliteitsfactor opbarsten zonder veiligheidsfactoren [-]</t>
  </si>
  <si>
    <t>Stabiliteitsfactor heave zonder veiligheidsfactoren [-]</t>
  </si>
  <si>
    <t>Stabiliteitsfactor piping zonder veiligheidsfactoren [-]</t>
  </si>
  <si>
    <t>Minimaal benodigde kwelweglengte [m]</t>
  </si>
  <si>
    <t>Kwelweglengte tekort [m]</t>
  </si>
  <si>
    <t>Factor kritieke pipelengte [-]</t>
  </si>
  <si>
    <t>Kritieke pipelengte tekort [m]</t>
  </si>
  <si>
    <t>Kritieke pipelengte</t>
  </si>
  <si>
    <t>Komt van input</t>
  </si>
  <si>
    <t xml:space="preserve">bestaat al </t>
  </si>
  <si>
    <t>indien geen tekort. Kwelweglengte tekort = 0</t>
  </si>
  <si>
    <t>dijkbasis regel. Komt direct uit de calculation settings</t>
  </si>
  <si>
    <t>Dit is een nieuwe lijn!  Komt straks uit inputsUntredepunten</t>
  </si>
  <si>
    <t>D70 [m]</t>
  </si>
  <si>
    <t>OndergrondscenarioID [-]</t>
  </si>
  <si>
    <t>VakID [-]</t>
  </si>
  <si>
    <t>Vaknaam [-]</t>
  </si>
  <si>
    <t>Scenarionaam [-]</t>
  </si>
  <si>
    <t>Scenariokans_vak [%]</t>
  </si>
  <si>
    <t>bodemhoogte_vak [m NAP]</t>
  </si>
  <si>
    <t>Scenariotype</t>
  </si>
  <si>
    <t>Scenariotype [-]</t>
  </si>
  <si>
    <t>Moet komen uit inputsOndergrondscenarios</t>
  </si>
  <si>
    <t>Pleistoceen, Holoceen of Tussenzandlaag</t>
  </si>
  <si>
    <t>Dikte_Pleistoceen_Zand [m]</t>
  </si>
  <si>
    <t>k_Pleistoceen_Zand [m/dag]</t>
  </si>
  <si>
    <t>Top_Holoceen_zand [m NAP]</t>
  </si>
  <si>
    <t>Top_Pleistoceen_zand [m NAP]</t>
  </si>
  <si>
    <t>Top_Zand_Vak [m NAP]</t>
  </si>
  <si>
    <t>Dikte_Holoceen_Zand [m]</t>
  </si>
  <si>
    <t>Geometrische_achterland_lengte [m]</t>
  </si>
  <si>
    <t>Dikte_WVP [m]</t>
  </si>
  <si>
    <t>k_Holoceen_zand [m/dag]</t>
  </si>
  <si>
    <t>k_WVP [m/dag]</t>
  </si>
  <si>
    <t>kD_WVP [m2/dag]</t>
  </si>
  <si>
    <t>Weerstand_C3_achterland_handmatig [dagen]</t>
  </si>
  <si>
    <t>Weerstand_C3_achterland [dagen]</t>
  </si>
  <si>
    <t>Weerstand_C1_voorland [dagen]</t>
  </si>
  <si>
    <t>Spreidingslengte_achterland [m]</t>
  </si>
  <si>
    <t>Spreidingslengte_voorland [m]</t>
  </si>
  <si>
    <t>d_deklaag_vak [m]</t>
  </si>
  <si>
    <t>Dikte van de holocene riviergeulopvulling [m]</t>
  </si>
  <si>
    <t>Dikte van de pleistocene zandlaag [m]</t>
  </si>
  <si>
    <t>De top van de holocene riviergeulopvulling</t>
  </si>
  <si>
    <t>De top van de pleistocene zandlaag</t>
  </si>
  <si>
    <t>Deze waarde wordt automatisch bepaald op basis van top_holoceen en top_pleistoceen. De juiste top van het zand wordt gekozen op basis van het gekozen scenariotype</t>
  </si>
  <si>
    <t xml:space="preserve">Grondonderzoek, lengte- en dwarsprofielen, WBI-SOS </t>
  </si>
  <si>
    <t>Doorlatendheid van de holocene riviergeulopvulling [m/d]</t>
  </si>
  <si>
    <t>Wordt automatisch bepaald op basis van dikte_holoceen en dikte_pleistoceen</t>
  </si>
  <si>
    <t>Doorlatendheid van de pleistocene zandlaag [m/d]</t>
  </si>
  <si>
    <t>Voorland weerstand C1</t>
  </si>
  <si>
    <t>Spreidingslengte in het voorland</t>
  </si>
  <si>
    <t xml:space="preserve">De weerstand van het voorland. Wordt alleen gebruikt in de anlytische methode. Op basis van de weerstand wordt de spreidingslengte bepaald. </t>
  </si>
  <si>
    <t>Wordt berekend op basis van de kD en de weerstand van het voorland (c1). Op basis van de spreidingslengte wordt de stijghoogte berekening gemaakt en het intredepunt bepaald.</t>
  </si>
  <si>
    <t>Handmatig aangepast weerstand van het achterland c3</t>
  </si>
  <si>
    <t>Als hier een waarde wordt ingevuld wordt automatisch de weerstand van het achterland overschreven die wordt berekend op basis van de dikte en doorlatendheid van de deklaag.</t>
  </si>
  <si>
    <t>Achterland weerstand C3</t>
  </si>
  <si>
    <t>De achterland weerstand wordt automatisch berekend op basis van de dikte van de deklaag (scenario) en de doorlatendheid van de deklaag (rekeninstelling)</t>
  </si>
  <si>
    <t>Spreidingslengte in het achterland</t>
  </si>
  <si>
    <t>Wordt berekend op basis van de kD en de weerstand van het achterland (c3). Op basis van de spreidingslengte wordt de stijghoogte berekening gemaakt en het intredepunt bepaald.</t>
  </si>
  <si>
    <t>De lengte van het achterland wordt in de analytische methode gebruikt in de berekening van de stijghoogte</t>
  </si>
  <si>
    <t>Opmerkingen_ondergrondscenario [-]</t>
  </si>
  <si>
    <t>Gamma_sat_deklaag_vak [kN/m3]</t>
  </si>
  <si>
    <t>bodemhoogte_vak</t>
  </si>
  <si>
    <t>TopZand</t>
  </si>
  <si>
    <t>Top_Holoceen_zand</t>
  </si>
  <si>
    <t>Top_Pleistoceen_zand</t>
  </si>
  <si>
    <t>D_cover_vak</t>
  </si>
  <si>
    <t>Spreidingslengte_voorland</t>
  </si>
  <si>
    <t>Weerstand_C3_achterland_handmatig</t>
  </si>
  <si>
    <t>Opmerkingen_ondergrondscenario</t>
  </si>
  <si>
    <t>Dikte_Holoceen</t>
  </si>
  <si>
    <t>Dikte_Pleistoceen</t>
  </si>
  <si>
    <t>k_Holoceen</t>
  </si>
  <si>
    <t>k_Pleistoceen</t>
  </si>
  <si>
    <t>OptredendVerval</t>
  </si>
  <si>
    <t>Top zand [m NAP]</t>
  </si>
  <si>
    <r>
      <t xml:space="preserve">Freatische </t>
    </r>
    <r>
      <rPr>
        <b/>
        <sz val="11"/>
        <color theme="1"/>
        <rFont val="Calibri"/>
        <family val="2"/>
        <scheme val="minor"/>
      </rPr>
      <t>waterstand</t>
    </r>
    <r>
      <rPr>
        <sz val="11"/>
        <color theme="1"/>
        <rFont val="Calibri"/>
        <family val="2"/>
        <scheme val="minor"/>
      </rPr>
      <t xml:space="preserve"> [m+NAP]</t>
    </r>
  </si>
  <si>
    <t>WBN [m NAP]</t>
  </si>
  <si>
    <t>kh pleistocene zandlaag [m/dag]</t>
  </si>
  <si>
    <t>kh holocene zandlaag [m/dag]</t>
  </si>
  <si>
    <t>kh watervoerendpakket [m/dag]</t>
  </si>
  <si>
    <t>Stijghoogte [m NAP]</t>
  </si>
  <si>
    <t>Spreidingslengte voorland [m]</t>
  </si>
  <si>
    <t>Bepaald in de analytische methode op basis van de voorland weerstand en kD. In de geohydrologsche methode bepaald op basis van een GIS-lijn</t>
  </si>
  <si>
    <t>Alleen relevant indien analytische formules worden gebruikt voor de theoretische potentiaalverloop.</t>
  </si>
  <si>
    <t>Weerstand achterland [dagen]</t>
  </si>
  <si>
    <t>Spreidingslengte Achterland [m]</t>
  </si>
  <si>
    <t>Beta scenariofaalkans x scenariokans</t>
  </si>
  <si>
    <t>KwelweglengteTekort</t>
  </si>
  <si>
    <t>KritiekePipelengteTekort</t>
  </si>
  <si>
    <t>FactorKritiekePipelengte</t>
  </si>
  <si>
    <t>ColumnIndex</t>
  </si>
  <si>
    <r>
      <t>Kritieke</t>
    </r>
    <r>
      <rPr>
        <b/>
        <sz val="11"/>
        <color theme="1"/>
        <rFont val="Calibri"/>
        <family val="2"/>
        <scheme val="minor"/>
      </rPr>
      <t>Pipe</t>
    </r>
    <r>
      <rPr>
        <sz val="11"/>
        <color theme="1"/>
        <rFont val="Calibri"/>
        <family val="2"/>
        <scheme val="minor"/>
      </rPr>
      <t>lengte</t>
    </r>
  </si>
  <si>
    <t>MaximumWaardeBetaScenario</t>
  </si>
  <si>
    <t>Maximum waarde beta scenario [-]</t>
  </si>
  <si>
    <t>FaalkansxScenarioKans</t>
  </si>
  <si>
    <t>KritiekVervalPipingSellmeijer</t>
  </si>
  <si>
    <t>Kritiek verval piping [m]</t>
  </si>
  <si>
    <t>SomProductFaalkansScenariokans</t>
  </si>
  <si>
    <t>Som Product Faalkans Scenariokans [-]</t>
  </si>
  <si>
    <t>Beta Som Product Faalkans Scenariokans [-]</t>
  </si>
  <si>
    <t>FaalkansDoorsnedeEis</t>
  </si>
  <si>
    <t>UnityCheckFaalkansDoorsnedeEis</t>
  </si>
  <si>
    <t>WBN</t>
  </si>
  <si>
    <t>Rekenwaarde_Leklengte_voorland</t>
  </si>
  <si>
    <t>Rekenwaarde spreidingslengte voorland [m]</t>
  </si>
  <si>
    <t>RekenwaardeLeklengteVoorland</t>
  </si>
  <si>
    <t>Scenariokans op vakniveau</t>
  </si>
  <si>
    <t>LokaleKans</t>
  </si>
  <si>
    <t>Scenariokans voor uittredepunt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</si>
</sst>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11"/>
      <color rgb="FF9C0006"/>
      <name val="Calibri"/>
      <family val="2"/>
      <scheme val="minor"/>
    </font>
    <font>
      <sz val="11"/>
      <color rgb="FF9C5700"/>
      <name val="Calibri"/>
      <family val="2"/>
      <scheme val="minor"/>
    </font>
    <font>
      <sz val="11"/>
      <color rgb="FF00610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FEB9C"/>
      </patternFill>
    </fill>
    <fill>
      <patternFill patternType="solid">
        <fgColor rgb="FFFFC000"/>
        <bgColor indexed="64"/>
      </patternFill>
    </fill>
    <fill>
      <patternFill patternType="solid">
        <fgColor rgb="FF92D050"/>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C6EFCE"/>
      </patternFill>
    </fill>
  </fills>
  <borders count="1">
    <border>
      <left/>
      <right/>
      <top/>
      <bottom/>
      <diagonal/>
    </border>
  </borders>
  <cellStyleXfs count="4">
    <xf numFmtId="0" fontId="0" fillId="0" borderId="0"/>
    <xf numFmtId="0" fontId="2" fillId="3" borderId="0" applyNumberFormat="0" applyBorder="0" applyAlignment="0" applyProtection="0"/>
    <xf numFmtId="0" fontId="3" fillId="4" borderId="0" applyNumberFormat="0" applyBorder="0" applyAlignment="0" applyProtection="0"/>
    <xf numFmtId="0" fontId="4" fillId="10" borderId="0" applyNumberFormat="0" applyBorder="0" applyAlignment="0" applyProtection="0"/>
  </cellStyleXfs>
  <cellXfs count="26">
    <xf numFmtId="0" fontId="0" fillId="0" borderId="0" xfId="0"/>
    <xf numFmtId="0" fontId="1" fillId="0" borderId="0" xfId="0" applyFont="1"/>
    <xf numFmtId="0" fontId="0" fillId="0" borderId="0" xfId="0" quotePrefix="1"/>
    <xf numFmtId="0" fontId="0" fillId="0" borderId="0" xfId="0" applyAlignment="1">
      <alignment wrapText="1"/>
    </xf>
    <xf numFmtId="0" fontId="0" fillId="0" borderId="0" xfId="0" applyFill="1"/>
    <xf numFmtId="0" fontId="0" fillId="2" borderId="0" xfId="0" applyFill="1"/>
    <xf numFmtId="0" fontId="0" fillId="2" borderId="0" xfId="0" applyFill="1" applyAlignment="1">
      <alignment wrapText="1"/>
    </xf>
    <xf numFmtId="0" fontId="2" fillId="3" borderId="0" xfId="1"/>
    <xf numFmtId="0" fontId="3" fillId="4" borderId="0" xfId="2"/>
    <xf numFmtId="0" fontId="0" fillId="5" borderId="0" xfId="0" applyFill="1"/>
    <xf numFmtId="0" fontId="0" fillId="5" borderId="0" xfId="0" applyFill="1" applyAlignment="1">
      <alignment wrapText="1"/>
    </xf>
    <xf numFmtId="0" fontId="0" fillId="6" borderId="0" xfId="0" applyFill="1"/>
    <xf numFmtId="0" fontId="0" fillId="6" borderId="0" xfId="0" applyFill="1" applyAlignment="1">
      <alignment wrapText="1"/>
    </xf>
    <xf numFmtId="0" fontId="0" fillId="7" borderId="0" xfId="0" applyFill="1"/>
    <xf numFmtId="0" fontId="0" fillId="8" borderId="0" xfId="0" applyFill="1"/>
    <xf numFmtId="0" fontId="0" fillId="8" borderId="0" xfId="0" applyFill="1" applyAlignment="1">
      <alignment wrapText="1"/>
    </xf>
    <xf numFmtId="0" fontId="0" fillId="0" borderId="0" xfId="0" applyFill="1" applyAlignment="1">
      <alignment wrapText="1"/>
    </xf>
    <xf numFmtId="0" fontId="1" fillId="5" borderId="0" xfId="0" applyFont="1" applyFill="1"/>
    <xf numFmtId="0" fontId="0" fillId="9" borderId="0" xfId="0" applyFill="1"/>
    <xf numFmtId="0" fontId="1" fillId="8" borderId="0" xfId="0" applyFont="1" applyFill="1"/>
    <xf numFmtId="0" fontId="0" fillId="8" borderId="0" xfId="0" applyFont="1" applyFill="1"/>
    <xf numFmtId="0" fontId="1" fillId="5" borderId="0" xfId="0" applyFont="1" applyFill="1" applyAlignment="1">
      <alignment wrapText="1"/>
    </xf>
    <xf numFmtId="0" fontId="0" fillId="8" borderId="0" xfId="0" applyFill="1" applyAlignment="1"/>
    <xf numFmtId="0" fontId="3" fillId="4" borderId="0" xfId="2" applyAlignment="1">
      <alignment wrapText="1"/>
    </xf>
    <xf numFmtId="0" fontId="4" fillId="10" borderId="0" xfId="3"/>
    <xf numFmtId="0" fontId="4" fillId="10" borderId="0" xfId="3" applyAlignment="1">
      <alignment wrapText="1"/>
    </xf>
  </cellXfs>
  <cellStyles count="4">
    <cellStyle name="Bad" xfId="1" builtinId="27"/>
    <cellStyle name="Good" xfId="3" builtinId="26"/>
    <cellStyle name="Neutral" xfId="2" builtinId="2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Tom de Wit" id="{871E9503-BAB9-4755-B81B-ED971E661678}" userId="S::tom.de.wit@rhdhv.com::072ac276-2f74-4936-bbb4-173a605b695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 dT="2020-03-06T13:18:27.61" personId="{871E9503-BAB9-4755-B81B-ED971E661678}" id="{E33FA713-CC39-4E33-9044-51C8A161C9C1}">
    <text>Naam van de kolom in de excel/GIS tabel. Zit in dit geval in dit excelbestand</text>
  </threadedComment>
  <threadedComment ref="C1" dT="2020-03-06T13:18:02.86" personId="{871E9503-BAB9-4755-B81B-ED971E661678}" id="{94309E76-943B-4F35-B8BF-9923DC72F821}">
    <text>NIet aanpassen. Wordt in de rekencode gebruikt</text>
  </threadedComment>
  <threadedComment ref="C11" dT="2020-04-29T13:04:24.96" personId="{871E9503-BAB9-4755-B81B-ED971E661678}" id="{620957BF-6D69-4008-90D1-B2A524F260E4}">
    <text>moet aangepast worden naar Top_Zand_Vak</text>
  </threadedComment>
  <threadedComment ref="C13" dT="2020-05-11T15:08:18.45" personId="{871E9503-BAB9-4755-B81B-ED971E661678}" id="{5124C1F7-5FD9-4BB8-91EA-97375E8FC979}">
    <text>dit is nu wel een erg vreemde naam</text>
  </threadedComment>
  <threadedComment ref="C14" dT="2020-05-11T15:08:50.74" personId="{871E9503-BAB9-4755-B81B-ED971E661678}" id="{6411F367-56CE-48CF-BD6F-776AF4A3FCDD}">
    <text>Dit is nu wel een erg vreemde naam</text>
  </threadedComment>
  <threadedComment ref="A17" dT="2020-04-29T09:16:16.89" personId="{871E9503-BAB9-4755-B81B-ED971E661678}" id="{C18097CF-70A9-4103-8A63-661FCD9542DF}">
    <text>Deze moeten aangepast worden. We gaan toe naar 1 pleistocene doorlatendheid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03-11T15:34:51.38" personId="{871E9503-BAB9-4755-B81B-ED971E661678}" id="{683B7223-A4C5-404F-A738-D9F5485F3A7A}">
    <text>Ik zie deze ook staan bij inputsUittredepunten is dit een merge van die twee tabellen oid?? nu niet helemaal duidelijk</text>
  </threadedComment>
  <threadedComment ref="E23" dT="2020-04-29T09:17:41.97" personId="{871E9503-BAB9-4755-B81B-ED971E661678}" id="{208CC288-C348-4F45-A0F3-FDD2E2A2A8E2}">
    <text>Staat al genoemd in "InputsOndergrondscenarios" Hier is de pleistocene zandlaag nog onderverdeeld in 2 delen. Deze gaan wij nu samenvoegen. Komt dus uiteindelijk wel vanuit InputsOndergrondscenarios</text>
  </threadedComment>
  <threadedComment ref="E24" dT="2020-04-29T09:18:07.84" personId="{871E9503-BAB9-4755-B81B-ED971E661678}" id="{7F2F9E52-EFE2-459C-BA48-F1D04DF35BB6}">
    <text>Staat al genoemd in "InputsOndergrondscenarios" Hier is de pleistocene zandlaag nog onderverdeeld in 2 delen. Deze gaan wij nu samenvoegen. Komt dus uiteindelijk wel vanuit InputsOndergrondscenarios</text>
  </threadedComment>
  <threadedComment ref="E33" dT="2020-04-29T09:25:55.54" personId="{871E9503-BAB9-4755-B81B-ED971E661678}" id="{14F6CAC8-4B54-426E-91FB-B5A06460B496}">
    <text>indien gerekend is met een geohydrologisch model is deze n.v.t.</text>
  </threadedComment>
  <threadedComment ref="E61" dT="2020-04-29T12:21:16.08" personId="{871E9503-BAB9-4755-B81B-ED971E661678}" id="{99E2C828-B36C-4671-92A6-35E2D1695607}">
    <text>Nieuwe lijn. Deze afstand moet gebruikt gaan worden in de toetst van de kritieke pijplengte</text>
  </threadedComment>
  <threadedComment ref="B71" dT="2020-03-11T15:05:49.41" personId="{871E9503-BAB9-4755-B81B-ED971E661678}" id="{49681AB3-DF67-49F1-89D7-A01EAC0BEA4A}">
    <text>Bestaat al wel als faalkans</text>
  </threadedComment>
  <threadedComment ref="E71" dT="2020-03-11T15:05:49.41" personId="{871E9503-BAB9-4755-B81B-ED971E661678}" id="{1E63782C-AE38-4242-8C2F-C75B9E6DF6C5}">
    <text>Bestaat al wel als faalkans</text>
  </threadedComment>
  <threadedComment ref="B72" dT="2020-03-11T15:05:58.80" personId="{871E9503-BAB9-4755-B81B-ED971E661678}" id="{C76A948C-16BF-42D9-BAC0-53A9F940F27C}">
    <text>Bestaat al wel als faalkans</text>
  </threadedComment>
  <threadedComment ref="E72" dT="2020-03-11T15:05:58.80" personId="{871E9503-BAB9-4755-B81B-ED971E661678}" id="{EC232FAF-8A31-41F5-8198-DA8E95102028}">
    <text>Bestaat al wel als faalkans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7DD41-C39A-4F82-B140-8DC5CDCC493D}">
  <sheetPr codeName="Sheet8"/>
  <dimension ref="A1:L28"/>
  <sheetViews>
    <sheetView tabSelected="1" topLeftCell="A13" zoomScale="85" zoomScaleNormal="85" workbookViewId="0">
      <selection activeCell="C22" sqref="C22"/>
    </sheetView>
  </sheetViews>
  <sheetFormatPr defaultRowHeight="15" x14ac:dyDescent="0.25"/>
  <cols>
    <col min="1" max="1" width="20.140625" bestFit="1" customWidth="1"/>
    <col min="2" max="3" width="43.7109375" bestFit="1" customWidth="1"/>
    <col min="4" max="4" width="9.7109375" bestFit="1" customWidth="1"/>
    <col min="5" max="5" width="51.85546875" bestFit="1" customWidth="1"/>
    <col min="7" max="7" width="53.140625" customWidth="1"/>
    <col min="8" max="8" width="72" bestFit="1" customWidth="1"/>
    <col min="9" max="9" width="14.42578125" bestFit="1" customWidth="1"/>
    <col min="10" max="10" width="12.85546875" bestFit="1" customWidth="1"/>
    <col min="11" max="11" width="14.85546875" bestFit="1" customWidth="1"/>
    <col min="12" max="12" width="13.140625" bestFit="1" customWidth="1"/>
  </cols>
  <sheetData>
    <row r="1" spans="1:12" x14ac:dyDescent="0.25">
      <c r="A1" s="1" t="s">
        <v>69</v>
      </c>
      <c r="B1" s="1" t="s">
        <v>70</v>
      </c>
      <c r="C1" s="1" t="s">
        <v>71</v>
      </c>
      <c r="D1" s="1" t="s">
        <v>72</v>
      </c>
      <c r="E1" s="1" t="s">
        <v>0</v>
      </c>
      <c r="F1" s="1" t="s">
        <v>77</v>
      </c>
      <c r="G1" s="1" t="s">
        <v>1</v>
      </c>
      <c r="H1" s="1" t="s">
        <v>2</v>
      </c>
      <c r="I1" s="1" t="s">
        <v>62</v>
      </c>
      <c r="J1" s="1" t="s">
        <v>63</v>
      </c>
      <c r="K1" s="1" t="s">
        <v>64</v>
      </c>
      <c r="L1" s="1" t="s">
        <v>68</v>
      </c>
    </row>
    <row r="2" spans="1:12" x14ac:dyDescent="0.25">
      <c r="A2" t="s">
        <v>19</v>
      </c>
      <c r="B2" s="24" t="s">
        <v>182</v>
      </c>
      <c r="C2" t="s">
        <v>20</v>
      </c>
      <c r="D2" t="s">
        <v>5</v>
      </c>
      <c r="E2" s="3" t="s">
        <v>20</v>
      </c>
      <c r="F2" s="3" t="s">
        <v>78</v>
      </c>
      <c r="G2" s="3" t="s">
        <v>22</v>
      </c>
    </row>
    <row r="3" spans="1:12" x14ac:dyDescent="0.25">
      <c r="A3" t="s">
        <v>19</v>
      </c>
      <c r="B3" s="24" t="s">
        <v>183</v>
      </c>
      <c r="C3" t="s">
        <v>9</v>
      </c>
      <c r="D3" t="s">
        <v>5</v>
      </c>
      <c r="E3" s="3" t="s">
        <v>9</v>
      </c>
      <c r="F3" s="3" t="s">
        <v>78</v>
      </c>
      <c r="G3" s="3" t="s">
        <v>35</v>
      </c>
    </row>
    <row r="4" spans="1:12" ht="30" x14ac:dyDescent="0.25">
      <c r="A4" t="s">
        <v>19</v>
      </c>
      <c r="B4" s="24" t="s">
        <v>184</v>
      </c>
      <c r="C4" t="s">
        <v>10</v>
      </c>
      <c r="D4" t="s">
        <v>11</v>
      </c>
      <c r="E4" s="3" t="s">
        <v>10</v>
      </c>
      <c r="F4" s="3" t="s">
        <v>78</v>
      </c>
      <c r="G4" s="3" t="s">
        <v>36</v>
      </c>
    </row>
    <row r="5" spans="1:12" x14ac:dyDescent="0.25">
      <c r="A5" t="s">
        <v>19</v>
      </c>
      <c r="B5" s="24" t="s">
        <v>185</v>
      </c>
      <c r="C5" t="s">
        <v>23</v>
      </c>
      <c r="D5" t="s">
        <v>11</v>
      </c>
      <c r="E5" s="3" t="s">
        <v>23</v>
      </c>
      <c r="F5" s="3" t="s">
        <v>78</v>
      </c>
      <c r="G5" s="3" t="s">
        <v>24</v>
      </c>
    </row>
    <row r="6" spans="1:12" s="24" customFormat="1" x14ac:dyDescent="0.25">
      <c r="A6" s="24" t="s">
        <v>19</v>
      </c>
      <c r="B6" s="24" t="s">
        <v>189</v>
      </c>
      <c r="C6" s="24" t="s">
        <v>188</v>
      </c>
      <c r="D6" s="24" t="s">
        <v>11</v>
      </c>
      <c r="E6" s="25" t="s">
        <v>188</v>
      </c>
      <c r="F6" s="25" t="s">
        <v>78</v>
      </c>
      <c r="G6" s="25" t="s">
        <v>191</v>
      </c>
    </row>
    <row r="7" spans="1:12" ht="30" x14ac:dyDescent="0.25">
      <c r="A7" t="s">
        <v>19</v>
      </c>
      <c r="B7" s="24" t="s">
        <v>186</v>
      </c>
      <c r="C7" t="s">
        <v>25</v>
      </c>
      <c r="D7" t="s">
        <v>3</v>
      </c>
      <c r="E7" s="3" t="s">
        <v>26</v>
      </c>
      <c r="F7" s="3" t="s">
        <v>78</v>
      </c>
      <c r="G7" s="3" t="s">
        <v>37</v>
      </c>
    </row>
    <row r="8" spans="1:12" ht="45" x14ac:dyDescent="0.25">
      <c r="A8" t="s">
        <v>19</v>
      </c>
      <c r="B8" s="24" t="s">
        <v>187</v>
      </c>
      <c r="C8" t="s">
        <v>231</v>
      </c>
      <c r="D8" t="s">
        <v>3</v>
      </c>
      <c r="E8" s="3" t="s">
        <v>43</v>
      </c>
      <c r="F8" s="3" t="s">
        <v>78</v>
      </c>
      <c r="G8" s="3" t="s">
        <v>38</v>
      </c>
      <c r="H8" t="s">
        <v>8</v>
      </c>
    </row>
    <row r="9" spans="1:12" s="24" customFormat="1" ht="30" x14ac:dyDescent="0.25">
      <c r="A9" s="24" t="s">
        <v>19</v>
      </c>
      <c r="B9" s="24" t="s">
        <v>194</v>
      </c>
      <c r="C9" s="24" t="s">
        <v>233</v>
      </c>
      <c r="D9" s="24" t="s">
        <v>3</v>
      </c>
      <c r="E9" s="25" t="s">
        <v>211</v>
      </c>
      <c r="F9" s="25" t="s">
        <v>78</v>
      </c>
      <c r="G9" s="25" t="s">
        <v>54</v>
      </c>
      <c r="H9" s="24" t="s">
        <v>214</v>
      </c>
    </row>
    <row r="10" spans="1:12" s="24" customFormat="1" ht="30" x14ac:dyDescent="0.25">
      <c r="A10" s="24" t="s">
        <v>19</v>
      </c>
      <c r="B10" s="24" t="s">
        <v>195</v>
      </c>
      <c r="C10" s="24" t="s">
        <v>234</v>
      </c>
      <c r="D10" s="24" t="s">
        <v>3</v>
      </c>
      <c r="E10" s="25" t="s">
        <v>212</v>
      </c>
      <c r="F10" s="25" t="s">
        <v>78</v>
      </c>
      <c r="G10" s="25" t="s">
        <v>54</v>
      </c>
      <c r="H10" s="24" t="s">
        <v>214</v>
      </c>
    </row>
    <row r="11" spans="1:12" s="8" customFormat="1" ht="60" x14ac:dyDescent="0.25">
      <c r="A11" s="8" t="s">
        <v>19</v>
      </c>
      <c r="B11" s="24" t="s">
        <v>196</v>
      </c>
      <c r="C11" t="s">
        <v>232</v>
      </c>
      <c r="D11" s="8" t="s">
        <v>3</v>
      </c>
      <c r="E11" s="23" t="s">
        <v>42</v>
      </c>
      <c r="F11" s="23" t="s">
        <v>78</v>
      </c>
      <c r="G11" s="23" t="s">
        <v>213</v>
      </c>
    </row>
    <row r="12" spans="1:12" ht="30" x14ac:dyDescent="0.25">
      <c r="A12" t="s">
        <v>19</v>
      </c>
      <c r="B12" s="24" t="s">
        <v>208</v>
      </c>
      <c r="C12" t="s">
        <v>235</v>
      </c>
      <c r="D12" t="s">
        <v>3</v>
      </c>
      <c r="E12" s="3" t="s">
        <v>41</v>
      </c>
      <c r="F12" s="3" t="s">
        <v>78</v>
      </c>
      <c r="G12" s="3" t="s">
        <v>44</v>
      </c>
    </row>
    <row r="13" spans="1:12" ht="45" x14ac:dyDescent="0.25">
      <c r="A13" t="s">
        <v>19</v>
      </c>
      <c r="B13" s="24" t="s">
        <v>197</v>
      </c>
      <c r="C13" s="5" t="s">
        <v>239</v>
      </c>
      <c r="D13" t="s">
        <v>3</v>
      </c>
      <c r="E13" s="25" t="s">
        <v>209</v>
      </c>
      <c r="F13" s="3" t="s">
        <v>78</v>
      </c>
      <c r="G13" s="3" t="s">
        <v>55</v>
      </c>
      <c r="H13" t="s">
        <v>59</v>
      </c>
    </row>
    <row r="14" spans="1:12" x14ac:dyDescent="0.25">
      <c r="A14" t="s">
        <v>19</v>
      </c>
      <c r="B14" s="24" t="s">
        <v>192</v>
      </c>
      <c r="C14" s="5" t="s">
        <v>240</v>
      </c>
      <c r="D14" t="s">
        <v>3</v>
      </c>
      <c r="E14" s="25" t="s">
        <v>210</v>
      </c>
      <c r="F14" s="3" t="s">
        <v>78</v>
      </c>
      <c r="G14" s="3"/>
      <c r="H14" t="s">
        <v>60</v>
      </c>
    </row>
    <row r="15" spans="1:12" ht="30" x14ac:dyDescent="0.25">
      <c r="A15" t="s">
        <v>19</v>
      </c>
      <c r="B15" s="24" t="s">
        <v>199</v>
      </c>
      <c r="C15" t="s">
        <v>28</v>
      </c>
      <c r="D15" t="s">
        <v>3</v>
      </c>
      <c r="E15" s="3" t="s">
        <v>47</v>
      </c>
      <c r="F15" s="3" t="s">
        <v>78</v>
      </c>
      <c r="G15" s="3" t="s">
        <v>216</v>
      </c>
      <c r="H15" t="s">
        <v>56</v>
      </c>
    </row>
    <row r="16" spans="1:12" ht="30" x14ac:dyDescent="0.25">
      <c r="A16" t="s">
        <v>19</v>
      </c>
      <c r="B16" s="24" t="s">
        <v>200</v>
      </c>
      <c r="C16" s="5" t="s">
        <v>241</v>
      </c>
      <c r="D16" t="s">
        <v>3</v>
      </c>
      <c r="E16" s="3" t="s">
        <v>215</v>
      </c>
      <c r="F16" s="3" t="s">
        <v>78</v>
      </c>
      <c r="H16" t="s">
        <v>57</v>
      </c>
    </row>
    <row r="17" spans="1:8" s="7" customFormat="1" x14ac:dyDescent="0.25">
      <c r="A17" t="s">
        <v>19</v>
      </c>
      <c r="B17" s="24" t="s">
        <v>193</v>
      </c>
      <c r="C17" s="5" t="s">
        <v>242</v>
      </c>
      <c r="D17" t="s">
        <v>3</v>
      </c>
      <c r="E17" s="25" t="s">
        <v>217</v>
      </c>
      <c r="F17" t="s">
        <v>78</v>
      </c>
      <c r="G17" s="24"/>
      <c r="H17" t="s">
        <v>57</v>
      </c>
    </row>
    <row r="18" spans="1:8" ht="30" x14ac:dyDescent="0.25">
      <c r="A18" t="s">
        <v>19</v>
      </c>
      <c r="B18" s="24" t="s">
        <v>201</v>
      </c>
      <c r="C18" t="s">
        <v>30</v>
      </c>
      <c r="D18" t="s">
        <v>3</v>
      </c>
      <c r="E18" s="3" t="s">
        <v>50</v>
      </c>
      <c r="F18" s="3" t="s">
        <v>78</v>
      </c>
      <c r="G18" s="3" t="s">
        <v>51</v>
      </c>
    </row>
    <row r="19" spans="1:8" ht="45" x14ac:dyDescent="0.25">
      <c r="A19" t="s">
        <v>19</v>
      </c>
      <c r="B19" s="24" t="s">
        <v>202</v>
      </c>
      <c r="C19" t="s">
        <v>29</v>
      </c>
      <c r="D19" t="s">
        <v>3</v>
      </c>
      <c r="E19" s="3" t="s">
        <v>48</v>
      </c>
      <c r="F19" s="3" t="s">
        <v>78</v>
      </c>
      <c r="G19" s="3" t="s">
        <v>49</v>
      </c>
    </row>
    <row r="20" spans="1:8" s="24" customFormat="1" ht="45" x14ac:dyDescent="0.25">
      <c r="A20" s="24" t="s">
        <v>19</v>
      </c>
      <c r="B20" s="24" t="s">
        <v>205</v>
      </c>
      <c r="C20" s="24" t="s">
        <v>32</v>
      </c>
      <c r="D20" s="24" t="s">
        <v>3</v>
      </c>
      <c r="E20" s="25" t="s">
        <v>218</v>
      </c>
      <c r="F20" s="24" t="s">
        <v>78</v>
      </c>
      <c r="G20" s="25" t="s">
        <v>220</v>
      </c>
    </row>
    <row r="21" spans="1:8" s="24" customFormat="1" ht="60" x14ac:dyDescent="0.25">
      <c r="A21" s="24" t="s">
        <v>19</v>
      </c>
      <c r="B21" s="24" t="s">
        <v>207</v>
      </c>
      <c r="C21" s="24" t="s">
        <v>236</v>
      </c>
      <c r="D21" s="24" t="s">
        <v>3</v>
      </c>
      <c r="E21" s="24" t="s">
        <v>219</v>
      </c>
      <c r="F21" s="24" t="s">
        <v>78</v>
      </c>
      <c r="G21" s="25" t="s">
        <v>221</v>
      </c>
    </row>
    <row r="22" spans="1:8" s="24" customFormat="1" ht="60" x14ac:dyDescent="0.25">
      <c r="A22" s="24" t="s">
        <v>19</v>
      </c>
      <c r="B22" s="24" t="s">
        <v>203</v>
      </c>
      <c r="C22" s="24" t="s">
        <v>237</v>
      </c>
      <c r="D22" s="24" t="s">
        <v>3</v>
      </c>
      <c r="E22" s="24" t="s">
        <v>222</v>
      </c>
      <c r="F22" s="24" t="s">
        <v>78</v>
      </c>
      <c r="G22" s="25" t="s">
        <v>223</v>
      </c>
    </row>
    <row r="23" spans="1:8" s="24" customFormat="1" ht="45" x14ac:dyDescent="0.25">
      <c r="A23" s="24" t="s">
        <v>19</v>
      </c>
      <c r="B23" s="24" t="s">
        <v>204</v>
      </c>
      <c r="C23" s="24" t="s">
        <v>31</v>
      </c>
      <c r="D23" s="24" t="s">
        <v>3</v>
      </c>
      <c r="E23" s="24" t="s">
        <v>224</v>
      </c>
      <c r="F23" s="24" t="s">
        <v>78</v>
      </c>
      <c r="G23" s="25" t="s">
        <v>225</v>
      </c>
    </row>
    <row r="24" spans="1:8" s="24" customFormat="1" ht="60" x14ac:dyDescent="0.25">
      <c r="A24" s="24" t="s">
        <v>19</v>
      </c>
      <c r="B24" s="24" t="s">
        <v>206</v>
      </c>
      <c r="C24" s="24" t="s">
        <v>126</v>
      </c>
      <c r="D24" s="24" t="s">
        <v>3</v>
      </c>
      <c r="E24" s="24" t="s">
        <v>226</v>
      </c>
      <c r="F24" s="24" t="s">
        <v>78</v>
      </c>
      <c r="G24" s="25" t="s">
        <v>227</v>
      </c>
    </row>
    <row r="25" spans="1:8" s="24" customFormat="1" ht="30" x14ac:dyDescent="0.25">
      <c r="A25" s="24" t="s">
        <v>19</v>
      </c>
      <c r="B25" s="24" t="s">
        <v>198</v>
      </c>
      <c r="C25" s="24" t="s">
        <v>89</v>
      </c>
      <c r="D25" s="24" t="s">
        <v>3</v>
      </c>
      <c r="E25" s="25" t="s">
        <v>122</v>
      </c>
      <c r="F25" s="25" t="s">
        <v>78</v>
      </c>
      <c r="G25" s="25" t="s">
        <v>228</v>
      </c>
    </row>
    <row r="26" spans="1:8" ht="30" x14ac:dyDescent="0.25">
      <c r="A26" t="s">
        <v>19</v>
      </c>
      <c r="B26" s="24" t="s">
        <v>181</v>
      </c>
      <c r="C26" t="s">
        <v>34</v>
      </c>
      <c r="D26" t="s">
        <v>3</v>
      </c>
      <c r="E26" s="3" t="s">
        <v>39</v>
      </c>
      <c r="F26" s="3" t="s">
        <v>78</v>
      </c>
      <c r="G26" s="3" t="s">
        <v>46</v>
      </c>
      <c r="H26" t="s">
        <v>57</v>
      </c>
    </row>
    <row r="27" spans="1:8" ht="45" x14ac:dyDescent="0.25">
      <c r="A27" t="s">
        <v>19</v>
      </c>
      <c r="B27" s="24" t="s">
        <v>230</v>
      </c>
      <c r="C27" t="s">
        <v>27</v>
      </c>
      <c r="D27" t="s">
        <v>3</v>
      </c>
      <c r="E27" s="3" t="s">
        <v>40</v>
      </c>
      <c r="F27" s="3" t="s">
        <v>78</v>
      </c>
      <c r="G27" s="3" t="s">
        <v>45</v>
      </c>
      <c r="H27" t="s">
        <v>58</v>
      </c>
    </row>
    <row r="28" spans="1:8" x14ac:dyDescent="0.25">
      <c r="A28" t="s">
        <v>19</v>
      </c>
      <c r="B28" s="24" t="s">
        <v>229</v>
      </c>
      <c r="C28" t="s">
        <v>238</v>
      </c>
      <c r="D28" t="s">
        <v>11</v>
      </c>
      <c r="E28" s="3" t="s">
        <v>52</v>
      </c>
      <c r="F28" s="3" t="s">
        <v>78</v>
      </c>
      <c r="G28" s="3"/>
    </row>
  </sheetData>
  <dataValidations count="2">
    <dataValidation type="list" allowBlank="1" showInputMessage="1" showErrorMessage="1" sqref="D2:D7 D25:D28 D9:D19" xr:uid="{1E6E4468-103E-4383-8BE0-1753ACF0E379}">
      <formula1>Fieldtypes</formula1>
    </dataValidation>
    <dataValidation type="list" allowBlank="1" showInputMessage="1" showErrorMessage="1" sqref="I25:I27 I2:I19" xr:uid="{FC8E0F9C-5877-487A-9536-D6A34C44E2F0}">
      <formula1>KoppelingTypen</formula1>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17468-75FF-4AAF-A510-868AACC65BE2}">
  <sheetPr codeName="Sheet9"/>
  <dimension ref="A1:N93"/>
  <sheetViews>
    <sheetView topLeftCell="A28" workbookViewId="0">
      <selection activeCell="C38" sqref="C38"/>
    </sheetView>
  </sheetViews>
  <sheetFormatPr defaultRowHeight="15" x14ac:dyDescent="0.25"/>
  <cols>
    <col min="1" max="1" width="23.85546875" bestFit="1" customWidth="1"/>
    <col min="2" max="2" width="60.28515625" bestFit="1" customWidth="1"/>
    <col min="3" max="3" width="37.140625" customWidth="1"/>
    <col min="4" max="4" width="9.7109375" bestFit="1" customWidth="1"/>
    <col min="5" max="5" width="75.28515625" bestFit="1" customWidth="1"/>
    <col min="7" max="7" width="18.140625" bestFit="1" customWidth="1"/>
    <col min="8" max="9" width="47.140625" customWidth="1"/>
    <col min="10" max="10" width="7.42578125" bestFit="1" customWidth="1"/>
    <col min="11" max="11" width="14.42578125" bestFit="1" customWidth="1"/>
    <col min="12" max="12" width="12.85546875" bestFit="1" customWidth="1"/>
    <col min="13" max="13" width="14.85546875" bestFit="1" customWidth="1"/>
    <col min="14" max="14" width="13.140625" bestFit="1" customWidth="1"/>
  </cols>
  <sheetData>
    <row r="1" spans="1:14" x14ac:dyDescent="0.25">
      <c r="A1" s="1" t="s">
        <v>69</v>
      </c>
      <c r="B1" s="1" t="s">
        <v>70</v>
      </c>
      <c r="C1" s="1" t="s">
        <v>71</v>
      </c>
      <c r="D1" s="1" t="s">
        <v>72</v>
      </c>
      <c r="E1" s="1" t="s">
        <v>0</v>
      </c>
      <c r="F1" s="1" t="s">
        <v>77</v>
      </c>
      <c r="G1" s="1" t="s">
        <v>123</v>
      </c>
      <c r="H1" s="1" t="s">
        <v>1</v>
      </c>
      <c r="I1" s="1" t="s">
        <v>260</v>
      </c>
      <c r="J1" s="1" t="s">
        <v>2</v>
      </c>
      <c r="K1" s="1" t="s">
        <v>62</v>
      </c>
      <c r="L1" s="1" t="s">
        <v>63</v>
      </c>
      <c r="M1" s="1" t="s">
        <v>64</v>
      </c>
      <c r="N1" s="1" t="s">
        <v>68</v>
      </c>
    </row>
    <row r="2" spans="1:14" s="14" customFormat="1" x14ac:dyDescent="0.25">
      <c r="A2" s="14" t="s">
        <v>6</v>
      </c>
      <c r="B2" s="14" t="s">
        <v>79</v>
      </c>
      <c r="C2" s="14" t="s">
        <v>80</v>
      </c>
      <c r="D2" s="14" t="s">
        <v>81</v>
      </c>
      <c r="E2" s="15" t="s">
        <v>79</v>
      </c>
      <c r="F2" s="15" t="s">
        <v>115</v>
      </c>
      <c r="G2" s="15"/>
      <c r="I2" s="14">
        <v>1</v>
      </c>
    </row>
    <row r="3" spans="1:14" s="14" customFormat="1" x14ac:dyDescent="0.25">
      <c r="A3" s="14" t="s">
        <v>6</v>
      </c>
      <c r="B3" s="14" t="s">
        <v>127</v>
      </c>
      <c r="C3" s="14" t="s">
        <v>21</v>
      </c>
      <c r="D3" s="14" t="s">
        <v>5</v>
      </c>
      <c r="E3" s="15" t="s">
        <v>21</v>
      </c>
      <c r="F3" s="15" t="s">
        <v>115</v>
      </c>
      <c r="G3" s="15"/>
      <c r="I3" s="14">
        <v>2</v>
      </c>
    </row>
    <row r="4" spans="1:14" s="14" customFormat="1" x14ac:dyDescent="0.25">
      <c r="A4" s="14" t="s">
        <v>6</v>
      </c>
      <c r="B4" s="14" t="s">
        <v>10</v>
      </c>
      <c r="C4" s="14" t="s">
        <v>10</v>
      </c>
      <c r="D4" s="14" t="s">
        <v>11</v>
      </c>
      <c r="E4" s="14" t="s">
        <v>10</v>
      </c>
      <c r="F4" s="15" t="s">
        <v>115</v>
      </c>
      <c r="G4" s="15"/>
      <c r="I4" s="14">
        <v>3</v>
      </c>
    </row>
    <row r="5" spans="1:14" s="14" customFormat="1" x14ac:dyDescent="0.25">
      <c r="A5" s="14" t="s">
        <v>6</v>
      </c>
      <c r="B5" s="14" t="s">
        <v>9</v>
      </c>
      <c r="C5" s="14" t="s">
        <v>9</v>
      </c>
      <c r="D5" s="14" t="s">
        <v>3</v>
      </c>
      <c r="E5" s="14" t="s">
        <v>9</v>
      </c>
      <c r="F5" s="15" t="s">
        <v>115</v>
      </c>
      <c r="G5" s="15"/>
      <c r="I5" s="14">
        <v>4</v>
      </c>
    </row>
    <row r="6" spans="1:14" s="14" customFormat="1" x14ac:dyDescent="0.25">
      <c r="A6" s="14" t="s">
        <v>6</v>
      </c>
      <c r="B6" s="14" t="s">
        <v>12</v>
      </c>
      <c r="C6" s="14" t="s">
        <v>12</v>
      </c>
      <c r="D6" s="14" t="s">
        <v>11</v>
      </c>
      <c r="E6" s="14" t="s">
        <v>12</v>
      </c>
      <c r="F6" s="15" t="s">
        <v>115</v>
      </c>
      <c r="G6" s="15"/>
      <c r="I6" s="14">
        <v>5</v>
      </c>
    </row>
    <row r="7" spans="1:14" s="14" customFormat="1" x14ac:dyDescent="0.25">
      <c r="A7" s="14" t="s">
        <v>6</v>
      </c>
      <c r="B7" s="14" t="s">
        <v>13</v>
      </c>
      <c r="C7" s="14" t="s">
        <v>73</v>
      </c>
      <c r="D7" s="14" t="s">
        <v>11</v>
      </c>
      <c r="E7" s="14" t="s">
        <v>151</v>
      </c>
      <c r="F7" s="15" t="s">
        <v>115</v>
      </c>
      <c r="G7" s="15"/>
      <c r="I7" s="14">
        <v>6</v>
      </c>
    </row>
    <row r="8" spans="1:14" s="11" customFormat="1" x14ac:dyDescent="0.25">
      <c r="A8" s="11" t="s">
        <v>6</v>
      </c>
      <c r="B8" s="11" t="s">
        <v>153</v>
      </c>
      <c r="C8" s="11" t="s">
        <v>153</v>
      </c>
      <c r="D8" s="11" t="s">
        <v>11</v>
      </c>
      <c r="E8" s="11" t="s">
        <v>152</v>
      </c>
      <c r="F8" s="15" t="s">
        <v>115</v>
      </c>
      <c r="G8" s="12"/>
      <c r="I8" s="14">
        <v>7</v>
      </c>
    </row>
    <row r="9" spans="1:14" s="14" customFormat="1" x14ac:dyDescent="0.25">
      <c r="A9" s="14" t="s">
        <v>6</v>
      </c>
      <c r="B9" s="14" t="s">
        <v>23</v>
      </c>
      <c r="C9" s="14" t="s">
        <v>23</v>
      </c>
      <c r="D9" s="14" t="s">
        <v>11</v>
      </c>
      <c r="E9" s="15" t="s">
        <v>23</v>
      </c>
      <c r="F9" s="15" t="s">
        <v>115</v>
      </c>
      <c r="G9" s="15"/>
      <c r="I9" s="14">
        <v>8</v>
      </c>
    </row>
    <row r="10" spans="1:14" s="11" customFormat="1" x14ac:dyDescent="0.25">
      <c r="A10" s="11" t="s">
        <v>6</v>
      </c>
      <c r="B10" s="12" t="s">
        <v>188</v>
      </c>
      <c r="C10" s="12" t="s">
        <v>188</v>
      </c>
      <c r="D10" s="11" t="s">
        <v>11</v>
      </c>
      <c r="E10" s="12" t="s">
        <v>188</v>
      </c>
      <c r="F10" s="15" t="s">
        <v>115</v>
      </c>
      <c r="G10" s="22" t="s">
        <v>190</v>
      </c>
      <c r="H10" s="15"/>
      <c r="I10" s="14">
        <v>9</v>
      </c>
    </row>
    <row r="11" spans="1:14" s="14" customFormat="1" x14ac:dyDescent="0.25">
      <c r="A11" s="14" t="s">
        <v>6</v>
      </c>
      <c r="B11" s="14" t="s">
        <v>25</v>
      </c>
      <c r="C11" s="14" t="s">
        <v>25</v>
      </c>
      <c r="D11" s="14" t="s">
        <v>3</v>
      </c>
      <c r="E11" s="14" t="s">
        <v>276</v>
      </c>
      <c r="F11" s="15" t="s">
        <v>115</v>
      </c>
      <c r="G11" s="15"/>
      <c r="I11" s="14">
        <v>10</v>
      </c>
    </row>
    <row r="12" spans="1:14" s="14" customFormat="1" x14ac:dyDescent="0.25">
      <c r="A12" s="14" t="s">
        <v>6</v>
      </c>
      <c r="B12" s="14" t="s">
        <v>277</v>
      </c>
      <c r="C12" s="14" t="s">
        <v>277</v>
      </c>
      <c r="D12" s="14" t="s">
        <v>3</v>
      </c>
      <c r="E12" s="14" t="s">
        <v>278</v>
      </c>
      <c r="F12" s="15" t="s">
        <v>115</v>
      </c>
      <c r="G12" s="15"/>
      <c r="I12" s="14">
        <v>11</v>
      </c>
    </row>
    <row r="13" spans="1:14" x14ac:dyDescent="0.25">
      <c r="A13" t="s">
        <v>6</v>
      </c>
      <c r="B13" t="s">
        <v>124</v>
      </c>
      <c r="C13" t="s">
        <v>124</v>
      </c>
      <c r="D13" t="s">
        <v>3</v>
      </c>
      <c r="E13" t="s">
        <v>244</v>
      </c>
      <c r="F13" s="15" t="s">
        <v>115</v>
      </c>
      <c r="G13" s="3"/>
      <c r="I13" s="14">
        <v>12</v>
      </c>
    </row>
    <row r="14" spans="1:14" s="14" customFormat="1" x14ac:dyDescent="0.25">
      <c r="A14" s="14" t="s">
        <v>6</v>
      </c>
      <c r="B14" s="14" t="s">
        <v>7</v>
      </c>
      <c r="C14" s="14" t="str">
        <f>B14</f>
        <v>Bodemhoogte</v>
      </c>
      <c r="D14" s="14" t="s">
        <v>3</v>
      </c>
      <c r="E14" s="14" t="s">
        <v>154</v>
      </c>
      <c r="F14" s="15" t="s">
        <v>115</v>
      </c>
      <c r="G14" s="15"/>
      <c r="I14" s="14">
        <v>13</v>
      </c>
    </row>
    <row r="15" spans="1:14" x14ac:dyDescent="0.25">
      <c r="A15" t="s">
        <v>6</v>
      </c>
      <c r="B15" t="str">
        <f>C15</f>
        <v>DikteDeklaag</v>
      </c>
      <c r="C15" t="s">
        <v>84</v>
      </c>
      <c r="D15" t="s">
        <v>3</v>
      </c>
      <c r="E15" t="s">
        <v>125</v>
      </c>
      <c r="F15" s="15" t="s">
        <v>115</v>
      </c>
      <c r="G15" s="3"/>
      <c r="I15" s="14">
        <v>14</v>
      </c>
    </row>
    <row r="16" spans="1:14" s="14" customFormat="1" x14ac:dyDescent="0.25">
      <c r="A16" s="14" t="s">
        <v>6</v>
      </c>
      <c r="B16" s="14" t="s">
        <v>18</v>
      </c>
      <c r="C16" s="14" t="str">
        <f>B16</f>
        <v>Polderpeil</v>
      </c>
      <c r="D16" s="14" t="s">
        <v>3</v>
      </c>
      <c r="E16" s="14" t="s">
        <v>155</v>
      </c>
      <c r="F16" s="15" t="s">
        <v>115</v>
      </c>
      <c r="G16" s="15"/>
      <c r="I16" s="14">
        <v>15</v>
      </c>
    </row>
    <row r="17" spans="1:9" s="9" customFormat="1" x14ac:dyDescent="0.25">
      <c r="A17" s="9" t="s">
        <v>6</v>
      </c>
      <c r="B17" s="9" t="str">
        <f>C17</f>
        <v>FreatischNiveauUittredepunt</v>
      </c>
      <c r="C17" s="9" t="s">
        <v>93</v>
      </c>
      <c r="D17" s="9" t="s">
        <v>3</v>
      </c>
      <c r="E17" s="9" t="s">
        <v>245</v>
      </c>
      <c r="F17" s="15" t="s">
        <v>115</v>
      </c>
      <c r="G17" s="10"/>
      <c r="I17" s="14">
        <v>16</v>
      </c>
    </row>
    <row r="18" spans="1:9" s="14" customFormat="1" x14ac:dyDescent="0.25">
      <c r="A18" s="14" t="s">
        <v>6</v>
      </c>
      <c r="B18" s="14" t="s">
        <v>272</v>
      </c>
      <c r="C18" s="14" t="str">
        <f>B18</f>
        <v>WBN</v>
      </c>
      <c r="D18" s="14" t="s">
        <v>3</v>
      </c>
      <c r="E18" s="14" t="s">
        <v>246</v>
      </c>
      <c r="F18" s="15" t="s">
        <v>115</v>
      </c>
      <c r="G18" s="15"/>
      <c r="I18" s="14">
        <v>17</v>
      </c>
    </row>
    <row r="19" spans="1:9" s="11" customFormat="1" x14ac:dyDescent="0.25">
      <c r="A19" s="11" t="s">
        <v>6</v>
      </c>
      <c r="B19" s="11" t="s">
        <v>243</v>
      </c>
      <c r="C19" s="11" t="s">
        <v>243</v>
      </c>
      <c r="D19" s="11" t="s">
        <v>3</v>
      </c>
      <c r="E19" s="11" t="s">
        <v>156</v>
      </c>
      <c r="F19" s="15" t="s">
        <v>115</v>
      </c>
      <c r="G19" s="12"/>
      <c r="I19" s="14">
        <v>18</v>
      </c>
    </row>
    <row r="20" spans="1:9" s="9" customFormat="1" x14ac:dyDescent="0.25">
      <c r="A20" s="9" t="s">
        <v>6</v>
      </c>
      <c r="B20" s="9" t="str">
        <f>C20</f>
        <v>GereduceerdOptredendVerval</v>
      </c>
      <c r="C20" s="9" t="s">
        <v>95</v>
      </c>
      <c r="D20" s="9" t="s">
        <v>3</v>
      </c>
      <c r="E20" s="17" t="s">
        <v>157</v>
      </c>
      <c r="F20" s="15" t="s">
        <v>115</v>
      </c>
      <c r="G20" s="10"/>
      <c r="I20" s="14">
        <v>19</v>
      </c>
    </row>
    <row r="21" spans="1:9" s="9" customFormat="1" x14ac:dyDescent="0.25">
      <c r="A21" s="9" t="s">
        <v>6</v>
      </c>
      <c r="B21" s="9" t="s">
        <v>239</v>
      </c>
      <c r="C21" s="9" t="s">
        <v>239</v>
      </c>
      <c r="D21" s="9" t="s">
        <v>3</v>
      </c>
      <c r="E21" s="17" t="s">
        <v>158</v>
      </c>
      <c r="F21" s="15" t="s">
        <v>115</v>
      </c>
      <c r="G21" s="10"/>
      <c r="I21" s="14">
        <v>20</v>
      </c>
    </row>
    <row r="22" spans="1:9" s="9" customFormat="1" x14ac:dyDescent="0.25">
      <c r="A22" s="9" t="s">
        <v>6</v>
      </c>
      <c r="B22" s="9" t="s">
        <v>241</v>
      </c>
      <c r="C22" s="9" t="s">
        <v>241</v>
      </c>
      <c r="D22" s="9" t="s">
        <v>3</v>
      </c>
      <c r="E22" s="17" t="s">
        <v>248</v>
      </c>
      <c r="F22" s="15" t="s">
        <v>115</v>
      </c>
      <c r="G22" s="10"/>
      <c r="I22" s="14">
        <v>21</v>
      </c>
    </row>
    <row r="23" spans="1:9" s="11" customFormat="1" x14ac:dyDescent="0.25">
      <c r="A23" s="11" t="s">
        <v>6</v>
      </c>
      <c r="B23" s="11" t="s">
        <v>240</v>
      </c>
      <c r="C23" s="11" t="s">
        <v>240</v>
      </c>
      <c r="D23" s="11" t="s">
        <v>3</v>
      </c>
      <c r="E23" s="11" t="s">
        <v>159</v>
      </c>
      <c r="F23" s="15" t="s">
        <v>115</v>
      </c>
      <c r="G23" s="12"/>
      <c r="I23" s="14">
        <v>22</v>
      </c>
    </row>
    <row r="24" spans="1:9" s="11" customFormat="1" x14ac:dyDescent="0.25">
      <c r="A24" s="11" t="s">
        <v>6</v>
      </c>
      <c r="B24" s="11" t="s">
        <v>242</v>
      </c>
      <c r="C24" s="11" t="s">
        <v>242</v>
      </c>
      <c r="D24" s="11" t="s">
        <v>3</v>
      </c>
      <c r="E24" s="11" t="s">
        <v>247</v>
      </c>
      <c r="F24" s="15" t="s">
        <v>115</v>
      </c>
      <c r="G24" s="12"/>
      <c r="I24" s="14">
        <v>23</v>
      </c>
    </row>
    <row r="25" spans="1:9" s="14" customFormat="1" x14ac:dyDescent="0.25">
      <c r="A25" s="14" t="s">
        <v>6</v>
      </c>
      <c r="B25" s="14" t="s">
        <v>28</v>
      </c>
      <c r="C25" s="14" t="s">
        <v>28</v>
      </c>
      <c r="D25" s="14" t="s">
        <v>3</v>
      </c>
      <c r="E25" s="20" t="s">
        <v>160</v>
      </c>
      <c r="F25" s="15" t="s">
        <v>115</v>
      </c>
      <c r="G25" s="15"/>
      <c r="I25" s="14">
        <v>24</v>
      </c>
    </row>
    <row r="26" spans="1:9" s="14" customFormat="1" x14ac:dyDescent="0.25">
      <c r="A26" s="14" t="s">
        <v>6</v>
      </c>
      <c r="B26" s="14" t="s">
        <v>30</v>
      </c>
      <c r="C26" s="14" t="s">
        <v>30</v>
      </c>
      <c r="D26" s="14" t="s">
        <v>3</v>
      </c>
      <c r="E26" s="20" t="s">
        <v>249</v>
      </c>
      <c r="F26" s="15" t="s">
        <v>115</v>
      </c>
      <c r="G26" s="15"/>
      <c r="I26" s="14">
        <v>25</v>
      </c>
    </row>
    <row r="27" spans="1:9" s="14" customFormat="1" x14ac:dyDescent="0.25">
      <c r="A27" s="14" t="s">
        <v>6</v>
      </c>
      <c r="B27" s="14" t="s">
        <v>29</v>
      </c>
      <c r="C27" s="14" t="s">
        <v>29</v>
      </c>
      <c r="D27" s="14" t="s">
        <v>3</v>
      </c>
      <c r="E27" s="20" t="s">
        <v>161</v>
      </c>
      <c r="F27" s="15" t="s">
        <v>115</v>
      </c>
      <c r="G27" s="15"/>
      <c r="I27" s="14">
        <v>26</v>
      </c>
    </row>
    <row r="28" spans="1:9" s="14" customFormat="1" x14ac:dyDescent="0.25">
      <c r="A28" s="14" t="s">
        <v>6</v>
      </c>
      <c r="B28" s="14" t="s">
        <v>16</v>
      </c>
      <c r="C28" s="14" t="s">
        <v>76</v>
      </c>
      <c r="D28" s="14" t="s">
        <v>3</v>
      </c>
      <c r="E28" s="20" t="s">
        <v>162</v>
      </c>
      <c r="F28" s="15" t="s">
        <v>115</v>
      </c>
      <c r="G28" s="15"/>
      <c r="I28" s="14">
        <v>27</v>
      </c>
    </row>
    <row r="29" spans="1:9" s="14" customFormat="1" x14ac:dyDescent="0.25">
      <c r="A29" s="14" t="s">
        <v>6</v>
      </c>
      <c r="B29" s="14" t="s">
        <v>15</v>
      </c>
      <c r="C29" s="14" t="s">
        <v>75</v>
      </c>
      <c r="D29" s="14" t="s">
        <v>3</v>
      </c>
      <c r="E29" s="20" t="s">
        <v>17</v>
      </c>
      <c r="F29" s="15" t="s">
        <v>115</v>
      </c>
      <c r="G29" s="15"/>
      <c r="I29" s="14">
        <v>28</v>
      </c>
    </row>
    <row r="30" spans="1:9" s="14" customFormat="1" x14ac:dyDescent="0.25">
      <c r="A30" s="14" t="s">
        <v>6</v>
      </c>
      <c r="B30" s="14" t="s">
        <v>14</v>
      </c>
      <c r="C30" s="14" t="s">
        <v>74</v>
      </c>
      <c r="D30" s="14" t="s">
        <v>3</v>
      </c>
      <c r="E30" s="19" t="s">
        <v>163</v>
      </c>
      <c r="F30" s="15" t="s">
        <v>115</v>
      </c>
      <c r="G30" s="15"/>
      <c r="I30" s="14">
        <v>29</v>
      </c>
    </row>
    <row r="31" spans="1:9" x14ac:dyDescent="0.25">
      <c r="A31" t="s">
        <v>6</v>
      </c>
      <c r="B31" t="str">
        <f>C31</f>
        <v>GeometrischeVoorlandLengte</v>
      </c>
      <c r="C31" t="s">
        <v>85</v>
      </c>
      <c r="D31" t="s">
        <v>3</v>
      </c>
      <c r="E31" t="s">
        <v>86</v>
      </c>
      <c r="F31" s="15" t="s">
        <v>115</v>
      </c>
      <c r="G31" s="3"/>
      <c r="I31" s="14">
        <v>30</v>
      </c>
    </row>
    <row r="32" spans="1:9" x14ac:dyDescent="0.25">
      <c r="A32" t="s">
        <v>6</v>
      </c>
      <c r="B32" t="str">
        <f>C32</f>
        <v>DijkzateLengte</v>
      </c>
      <c r="C32" t="s">
        <v>87</v>
      </c>
      <c r="D32" t="s">
        <v>3</v>
      </c>
      <c r="E32" t="s">
        <v>88</v>
      </c>
      <c r="F32" s="15" t="s">
        <v>115</v>
      </c>
      <c r="G32" s="3"/>
      <c r="I32" s="14">
        <v>31</v>
      </c>
    </row>
    <row r="33" spans="1:9" x14ac:dyDescent="0.25">
      <c r="A33" t="s">
        <v>6</v>
      </c>
      <c r="B33" t="str">
        <f>C33</f>
        <v>GeometrischeAchterlandLengte</v>
      </c>
      <c r="C33" t="s">
        <v>89</v>
      </c>
      <c r="D33" t="s">
        <v>3</v>
      </c>
      <c r="E33" t="s">
        <v>90</v>
      </c>
      <c r="F33" s="15" t="s">
        <v>115</v>
      </c>
      <c r="G33" s="3"/>
      <c r="I33" s="14">
        <v>32</v>
      </c>
    </row>
    <row r="34" spans="1:9" s="9" customFormat="1" ht="14.45" customHeight="1" x14ac:dyDescent="0.25">
      <c r="A34" s="9" t="s">
        <v>6</v>
      </c>
      <c r="B34" s="9" t="s">
        <v>32</v>
      </c>
      <c r="C34" s="9" t="str">
        <f>B34</f>
        <v>Weerstand_C1_voorland</v>
      </c>
      <c r="D34" s="9" t="s">
        <v>3</v>
      </c>
      <c r="E34" s="17" t="s">
        <v>164</v>
      </c>
      <c r="F34" s="15" t="s">
        <v>115</v>
      </c>
      <c r="G34" s="10"/>
      <c r="H34" s="10" t="s">
        <v>253</v>
      </c>
      <c r="I34" s="14">
        <v>33</v>
      </c>
    </row>
    <row r="35" spans="1:9" s="9" customFormat="1" ht="15" customHeight="1" x14ac:dyDescent="0.25">
      <c r="A35" s="9" t="s">
        <v>6</v>
      </c>
      <c r="B35" s="9" t="s">
        <v>33</v>
      </c>
      <c r="C35" s="9" t="s">
        <v>82</v>
      </c>
      <c r="D35" s="9" t="s">
        <v>3</v>
      </c>
      <c r="E35" s="21" t="s">
        <v>251</v>
      </c>
      <c r="F35" s="15" t="s">
        <v>115</v>
      </c>
      <c r="G35" s="10"/>
      <c r="H35" s="10" t="s">
        <v>252</v>
      </c>
      <c r="I35" s="14">
        <v>34</v>
      </c>
    </row>
    <row r="36" spans="1:9" s="9" customFormat="1" ht="15" customHeight="1" x14ac:dyDescent="0.25">
      <c r="A36" s="9" t="s">
        <v>6</v>
      </c>
      <c r="B36" s="9" t="s">
        <v>273</v>
      </c>
      <c r="C36" s="9" t="s">
        <v>275</v>
      </c>
      <c r="D36" s="9" t="s">
        <v>3</v>
      </c>
      <c r="E36" s="21" t="s">
        <v>274</v>
      </c>
      <c r="F36" s="15" t="s">
        <v>115</v>
      </c>
      <c r="G36" s="10"/>
      <c r="H36" s="10"/>
      <c r="I36" s="14">
        <v>35</v>
      </c>
    </row>
    <row r="37" spans="1:9" x14ac:dyDescent="0.25">
      <c r="A37" t="s">
        <v>6</v>
      </c>
      <c r="B37" t="str">
        <f>C37</f>
        <v>EffectieveVoorlandLengte</v>
      </c>
      <c r="C37" t="s">
        <v>91</v>
      </c>
      <c r="D37" t="s">
        <v>3</v>
      </c>
      <c r="E37" t="s">
        <v>92</v>
      </c>
      <c r="F37" s="15" t="s">
        <v>115</v>
      </c>
      <c r="G37" s="3"/>
      <c r="I37" s="14">
        <v>36</v>
      </c>
    </row>
    <row r="38" spans="1:9" ht="13.9" customHeight="1" x14ac:dyDescent="0.25">
      <c r="A38" t="s">
        <v>6</v>
      </c>
      <c r="B38" s="5" t="s">
        <v>31</v>
      </c>
      <c r="C38" s="5" t="str">
        <f>B38</f>
        <v>Weerstand_C3_achterland</v>
      </c>
      <c r="D38" s="5" t="s">
        <v>3</v>
      </c>
      <c r="E38" s="6" t="s">
        <v>254</v>
      </c>
      <c r="F38" s="15" t="s">
        <v>115</v>
      </c>
      <c r="G38" s="3"/>
      <c r="H38" s="6" t="s">
        <v>61</v>
      </c>
      <c r="I38" s="14">
        <v>37</v>
      </c>
    </row>
    <row r="39" spans="1:9" s="9" customFormat="1" ht="16.149999999999999" customHeight="1" x14ac:dyDescent="0.25">
      <c r="A39" s="9" t="s">
        <v>6</v>
      </c>
      <c r="B39" s="17" t="s">
        <v>126</v>
      </c>
      <c r="C39" s="9" t="s">
        <v>83</v>
      </c>
      <c r="D39" s="9" t="s">
        <v>3</v>
      </c>
      <c r="E39" s="17" t="s">
        <v>255</v>
      </c>
      <c r="F39" s="15" t="s">
        <v>115</v>
      </c>
      <c r="G39" s="10"/>
      <c r="H39" s="10" t="s">
        <v>53</v>
      </c>
      <c r="I39" s="14">
        <v>38</v>
      </c>
    </row>
    <row r="40" spans="1:9" s="9" customFormat="1" x14ac:dyDescent="0.25">
      <c r="A40" s="9" t="s">
        <v>6</v>
      </c>
      <c r="B40" s="9" t="str">
        <f>C40</f>
        <v>StijghoogteWaterVoerendPakketBijUittredepunt</v>
      </c>
      <c r="C40" s="9" t="s">
        <v>96</v>
      </c>
      <c r="D40" s="9" t="s">
        <v>3</v>
      </c>
      <c r="E40" s="17" t="s">
        <v>250</v>
      </c>
      <c r="F40" s="15" t="s">
        <v>115</v>
      </c>
      <c r="G40" s="10"/>
      <c r="I40" s="14">
        <v>39</v>
      </c>
    </row>
    <row r="41" spans="1:9" s="14" customFormat="1" x14ac:dyDescent="0.25">
      <c r="A41" s="14" t="s">
        <v>6</v>
      </c>
      <c r="B41" s="14" t="s">
        <v>34</v>
      </c>
      <c r="C41" s="14" t="s">
        <v>34</v>
      </c>
      <c r="D41" s="14" t="s">
        <v>3</v>
      </c>
      <c r="E41" s="19" t="s">
        <v>165</v>
      </c>
      <c r="F41" s="15" t="s">
        <v>115</v>
      </c>
      <c r="G41" s="15"/>
      <c r="I41" s="14">
        <v>40</v>
      </c>
    </row>
    <row r="42" spans="1:9" s="14" customFormat="1" x14ac:dyDescent="0.25">
      <c r="A42" s="14" t="s">
        <v>6</v>
      </c>
      <c r="B42" s="14" t="s">
        <v>27</v>
      </c>
      <c r="C42" s="14" t="s">
        <v>27</v>
      </c>
      <c r="D42" s="14" t="s">
        <v>3</v>
      </c>
      <c r="E42" s="19" t="s">
        <v>166</v>
      </c>
      <c r="F42" s="15" t="s">
        <v>115</v>
      </c>
      <c r="G42" s="15"/>
      <c r="I42" s="14">
        <v>41</v>
      </c>
    </row>
    <row r="43" spans="1:9" s="9" customFormat="1" x14ac:dyDescent="0.25">
      <c r="A43" s="9" t="s">
        <v>6</v>
      </c>
      <c r="B43" s="9" t="str">
        <f>C43</f>
        <v>LengteKwelweg</v>
      </c>
      <c r="C43" s="9" t="s">
        <v>94</v>
      </c>
      <c r="D43" s="9" t="s">
        <v>3</v>
      </c>
      <c r="E43" s="17" t="s">
        <v>167</v>
      </c>
      <c r="F43" s="15" t="s">
        <v>115</v>
      </c>
      <c r="G43" s="10"/>
      <c r="I43" s="14">
        <v>42</v>
      </c>
    </row>
    <row r="44" spans="1:9" s="9" customFormat="1" x14ac:dyDescent="0.25">
      <c r="A44" s="9" t="s">
        <v>6</v>
      </c>
      <c r="B44" s="9" t="str">
        <f t="shared" ref="B44:B53" si="0">C44</f>
        <v>StabiliteitsFactorOpbarsten</v>
      </c>
      <c r="C44" s="9" t="s">
        <v>97</v>
      </c>
      <c r="D44" s="9" t="s">
        <v>3</v>
      </c>
      <c r="E44" s="17" t="s">
        <v>168</v>
      </c>
      <c r="F44" s="15" t="s">
        <v>115</v>
      </c>
      <c r="G44" s="10"/>
      <c r="I44" s="14">
        <v>43</v>
      </c>
    </row>
    <row r="45" spans="1:9" x14ac:dyDescent="0.25">
      <c r="A45" t="s">
        <v>6</v>
      </c>
      <c r="B45" t="str">
        <f t="shared" si="0"/>
        <v>ScenarioFaalkansOpbarsten</v>
      </c>
      <c r="C45" t="s">
        <v>100</v>
      </c>
      <c r="D45" t="s">
        <v>3</v>
      </c>
      <c r="E45" t="s">
        <v>101</v>
      </c>
      <c r="F45" s="15" t="s">
        <v>115</v>
      </c>
      <c r="G45" s="3"/>
      <c r="I45" s="14">
        <v>44</v>
      </c>
    </row>
    <row r="46" spans="1:9" x14ac:dyDescent="0.25">
      <c r="A46" t="s">
        <v>6</v>
      </c>
      <c r="B46" t="str">
        <f t="shared" si="0"/>
        <v>BetrouwbaarheidsIndexOpbarsten</v>
      </c>
      <c r="C46" t="s">
        <v>98</v>
      </c>
      <c r="D46" t="s">
        <v>3</v>
      </c>
      <c r="E46" t="s">
        <v>99</v>
      </c>
      <c r="F46" s="15" t="s">
        <v>115</v>
      </c>
      <c r="G46" s="3"/>
      <c r="I46" s="14">
        <v>45</v>
      </c>
    </row>
    <row r="47" spans="1:9" s="9" customFormat="1" x14ac:dyDescent="0.25">
      <c r="A47" s="9" t="s">
        <v>6</v>
      </c>
      <c r="B47" s="9" t="str">
        <f t="shared" si="0"/>
        <v>StabiliteitsFactorHeave</v>
      </c>
      <c r="C47" s="9" t="s">
        <v>102</v>
      </c>
      <c r="D47" s="9" t="s">
        <v>3</v>
      </c>
      <c r="E47" s="17" t="s">
        <v>169</v>
      </c>
      <c r="F47" s="15" t="s">
        <v>115</v>
      </c>
      <c r="G47" s="10"/>
      <c r="I47" s="14">
        <v>46</v>
      </c>
    </row>
    <row r="48" spans="1:9" x14ac:dyDescent="0.25">
      <c r="A48" t="s">
        <v>6</v>
      </c>
      <c r="B48" t="str">
        <f t="shared" si="0"/>
        <v>ScenarioFaalkansHeave</v>
      </c>
      <c r="C48" t="s">
        <v>105</v>
      </c>
      <c r="D48" t="s">
        <v>3</v>
      </c>
      <c r="E48" t="s">
        <v>106</v>
      </c>
      <c r="F48" s="15" t="s">
        <v>115</v>
      </c>
      <c r="G48" s="3"/>
      <c r="I48" s="14">
        <v>47</v>
      </c>
    </row>
    <row r="49" spans="1:9" x14ac:dyDescent="0.25">
      <c r="A49" t="s">
        <v>6</v>
      </c>
      <c r="B49" t="str">
        <f t="shared" si="0"/>
        <v>BetrouwbaarheidsIndexHeave</v>
      </c>
      <c r="C49" t="s">
        <v>103</v>
      </c>
      <c r="D49" t="s">
        <v>3</v>
      </c>
      <c r="E49" t="s">
        <v>104</v>
      </c>
      <c r="F49" s="15" t="s">
        <v>115</v>
      </c>
      <c r="G49" s="3"/>
      <c r="I49" s="14">
        <v>48</v>
      </c>
    </row>
    <row r="50" spans="1:9" x14ac:dyDescent="0.25">
      <c r="A50" t="s">
        <v>6</v>
      </c>
      <c r="B50" t="s">
        <v>265</v>
      </c>
      <c r="C50" t="s">
        <v>265</v>
      </c>
      <c r="D50" t="s">
        <v>3</v>
      </c>
      <c r="E50" t="s">
        <v>266</v>
      </c>
      <c r="F50" s="15" t="s">
        <v>115</v>
      </c>
      <c r="G50" s="3"/>
      <c r="I50" s="14">
        <v>49</v>
      </c>
    </row>
    <row r="51" spans="1:9" s="17" customFormat="1" x14ac:dyDescent="0.25">
      <c r="A51" s="17" t="s">
        <v>6</v>
      </c>
      <c r="B51" s="17" t="str">
        <f t="shared" si="0"/>
        <v>StabiliteitsFactorPiping</v>
      </c>
      <c r="C51" s="17" t="s">
        <v>107</v>
      </c>
      <c r="D51" s="17" t="s">
        <v>3</v>
      </c>
      <c r="E51" s="17" t="s">
        <v>170</v>
      </c>
      <c r="F51" s="15" t="s">
        <v>115</v>
      </c>
      <c r="G51" s="21"/>
      <c r="I51" s="14">
        <v>50</v>
      </c>
    </row>
    <row r="52" spans="1:9" x14ac:dyDescent="0.25">
      <c r="A52" t="s">
        <v>6</v>
      </c>
      <c r="B52" t="str">
        <f t="shared" si="0"/>
        <v>ScenarioFaalkansPiping</v>
      </c>
      <c r="C52" t="s">
        <v>110</v>
      </c>
      <c r="D52" t="s">
        <v>3</v>
      </c>
      <c r="E52" t="s">
        <v>111</v>
      </c>
      <c r="F52" s="15" t="s">
        <v>115</v>
      </c>
      <c r="G52" s="3"/>
      <c r="I52" s="14">
        <v>51</v>
      </c>
    </row>
    <row r="53" spans="1:9" x14ac:dyDescent="0.25">
      <c r="A53" t="s">
        <v>6</v>
      </c>
      <c r="B53" t="str">
        <f t="shared" si="0"/>
        <v>BetrouwbaarheidsIndexPiping</v>
      </c>
      <c r="C53" t="s">
        <v>108</v>
      </c>
      <c r="D53" t="s">
        <v>3</v>
      </c>
      <c r="E53" t="s">
        <v>109</v>
      </c>
      <c r="F53" s="15" t="s">
        <v>115</v>
      </c>
      <c r="G53" s="3"/>
      <c r="I53" s="14">
        <v>52</v>
      </c>
    </row>
    <row r="54" spans="1:9" s="9" customFormat="1" x14ac:dyDescent="0.25">
      <c r="A54" s="9" t="s">
        <v>6</v>
      </c>
      <c r="B54" s="9" t="s">
        <v>112</v>
      </c>
      <c r="C54" s="9" t="s">
        <v>112</v>
      </c>
      <c r="D54" s="9" t="s">
        <v>11</v>
      </c>
      <c r="E54" s="9" t="s">
        <v>113</v>
      </c>
      <c r="F54" s="15" t="s">
        <v>115</v>
      </c>
      <c r="G54" s="10"/>
      <c r="I54" s="14">
        <v>53</v>
      </c>
    </row>
    <row r="55" spans="1:9" s="9" customFormat="1" x14ac:dyDescent="0.25">
      <c r="A55" s="9" t="s">
        <v>6</v>
      </c>
      <c r="B55" s="9" t="s">
        <v>262</v>
      </c>
      <c r="C55" s="9" t="s">
        <v>262</v>
      </c>
      <c r="D55" s="9" t="s">
        <v>3</v>
      </c>
      <c r="E55" s="9" t="s">
        <v>263</v>
      </c>
      <c r="F55" s="15"/>
      <c r="G55" s="10"/>
      <c r="I55" s="14">
        <v>54</v>
      </c>
    </row>
    <row r="56" spans="1:9" s="11" customFormat="1" x14ac:dyDescent="0.25">
      <c r="A56" s="11" t="s">
        <v>6</v>
      </c>
      <c r="B56" s="11" t="s">
        <v>264</v>
      </c>
      <c r="C56" s="11" t="s">
        <v>264</v>
      </c>
      <c r="D56" s="11" t="s">
        <v>3</v>
      </c>
      <c r="E56" s="11" t="s">
        <v>256</v>
      </c>
      <c r="F56" s="15" t="s">
        <v>115</v>
      </c>
      <c r="G56" s="12"/>
      <c r="I56" s="14">
        <v>55</v>
      </c>
    </row>
    <row r="57" spans="1:9" s="9" customFormat="1" x14ac:dyDescent="0.25">
      <c r="A57" s="9" t="s">
        <v>6</v>
      </c>
      <c r="B57" s="9" t="s">
        <v>119</v>
      </c>
      <c r="C57" s="9" t="s">
        <v>119</v>
      </c>
      <c r="D57" s="9" t="s">
        <v>3</v>
      </c>
      <c r="E57" s="17" t="s">
        <v>171</v>
      </c>
      <c r="F57" s="15" t="s">
        <v>115</v>
      </c>
      <c r="G57" s="10"/>
      <c r="I57" s="14">
        <v>56</v>
      </c>
    </row>
    <row r="58" spans="1:9" s="11" customFormat="1" x14ac:dyDescent="0.25">
      <c r="A58" s="11" t="s">
        <v>6</v>
      </c>
      <c r="B58" s="11" t="s">
        <v>257</v>
      </c>
      <c r="C58" s="11" t="s">
        <v>257</v>
      </c>
      <c r="D58" s="11" t="s">
        <v>3</v>
      </c>
      <c r="E58" s="11" t="s">
        <v>172</v>
      </c>
      <c r="F58" s="15" t="s">
        <v>115</v>
      </c>
      <c r="G58" s="12"/>
      <c r="H58" s="11" t="s">
        <v>178</v>
      </c>
      <c r="I58" s="14">
        <v>57</v>
      </c>
    </row>
    <row r="59" spans="1:9" s="11" customFormat="1" x14ac:dyDescent="0.25">
      <c r="A59" s="11" t="s">
        <v>6</v>
      </c>
      <c r="B59" s="11" t="s">
        <v>259</v>
      </c>
      <c r="C59" s="11" t="s">
        <v>259</v>
      </c>
      <c r="D59" s="11" t="s">
        <v>3</v>
      </c>
      <c r="E59" s="11" t="s">
        <v>173</v>
      </c>
      <c r="F59" s="15" t="s">
        <v>115</v>
      </c>
      <c r="G59" s="12"/>
      <c r="H59" s="11" t="s">
        <v>179</v>
      </c>
      <c r="I59" s="14">
        <v>58</v>
      </c>
    </row>
    <row r="60" spans="1:9" s="4" customFormat="1" x14ac:dyDescent="0.25">
      <c r="A60" s="4" t="s">
        <v>6</v>
      </c>
      <c r="B60" s="5" t="s">
        <v>261</v>
      </c>
      <c r="C60" s="5" t="s">
        <v>261</v>
      </c>
      <c r="D60" s="4" t="s">
        <v>3</v>
      </c>
      <c r="E60" s="4" t="s">
        <v>175</v>
      </c>
      <c r="F60" s="15" t="s">
        <v>115</v>
      </c>
      <c r="G60" s="16"/>
      <c r="I60" s="14">
        <v>59</v>
      </c>
    </row>
    <row r="61" spans="1:9" s="11" customFormat="1" x14ac:dyDescent="0.25">
      <c r="A61" s="11" t="s">
        <v>6</v>
      </c>
      <c r="B61" s="11" t="s">
        <v>143</v>
      </c>
      <c r="C61" s="11" t="s">
        <v>143</v>
      </c>
      <c r="D61" s="11" t="s">
        <v>3</v>
      </c>
      <c r="E61" s="11" t="s">
        <v>142</v>
      </c>
      <c r="F61" s="15" t="s">
        <v>115</v>
      </c>
      <c r="G61" s="12"/>
      <c r="H61" s="18" t="s">
        <v>180</v>
      </c>
      <c r="I61" s="14">
        <v>60</v>
      </c>
    </row>
    <row r="62" spans="1:9" s="11" customFormat="1" x14ac:dyDescent="0.25">
      <c r="A62" s="11" t="s">
        <v>6</v>
      </c>
      <c r="B62" s="11" t="s">
        <v>258</v>
      </c>
      <c r="C62" s="11" t="s">
        <v>258</v>
      </c>
      <c r="D62" s="11" t="s">
        <v>3</v>
      </c>
      <c r="E62" s="11" t="s">
        <v>174</v>
      </c>
      <c r="F62" s="15" t="s">
        <v>115</v>
      </c>
      <c r="G62" s="12"/>
      <c r="I62" s="14">
        <v>61</v>
      </c>
    </row>
    <row r="63" spans="1:9" x14ac:dyDescent="0.25">
      <c r="A63" t="s">
        <v>116</v>
      </c>
      <c r="B63" t="s">
        <v>79</v>
      </c>
      <c r="C63" t="s">
        <v>80</v>
      </c>
      <c r="D63" t="s">
        <v>81</v>
      </c>
      <c r="E63" s="3" t="s">
        <v>79</v>
      </c>
      <c r="F63" s="15" t="s">
        <v>115</v>
      </c>
      <c r="G63" s="3"/>
      <c r="I63" s="14">
        <v>62</v>
      </c>
    </row>
    <row r="64" spans="1:9" s="9" customFormat="1" x14ac:dyDescent="0.25">
      <c r="A64" s="9" t="s">
        <v>116</v>
      </c>
      <c r="B64" s="9" t="s">
        <v>127</v>
      </c>
      <c r="C64" s="9" t="s">
        <v>21</v>
      </c>
      <c r="D64" s="9" t="s">
        <v>5</v>
      </c>
      <c r="E64" s="10" t="s">
        <v>21</v>
      </c>
      <c r="F64" s="15" t="s">
        <v>115</v>
      </c>
      <c r="G64" s="10"/>
      <c r="I64" s="14">
        <v>63</v>
      </c>
    </row>
    <row r="65" spans="1:9" x14ac:dyDescent="0.25">
      <c r="A65" t="s">
        <v>116</v>
      </c>
      <c r="B65" t="s">
        <v>10</v>
      </c>
      <c r="C65" t="s">
        <v>10</v>
      </c>
      <c r="D65" t="s">
        <v>11</v>
      </c>
      <c r="E65" t="s">
        <v>10</v>
      </c>
      <c r="F65" s="15" t="s">
        <v>115</v>
      </c>
      <c r="G65" s="3"/>
      <c r="I65" s="14">
        <v>64</v>
      </c>
    </row>
    <row r="66" spans="1:9" s="11" customFormat="1" x14ac:dyDescent="0.25">
      <c r="A66" s="11" t="s">
        <v>116</v>
      </c>
      <c r="B66" s="11" t="s">
        <v>9</v>
      </c>
      <c r="C66" s="11" t="s">
        <v>9</v>
      </c>
      <c r="D66" s="11" t="s">
        <v>3</v>
      </c>
      <c r="E66" s="11" t="s">
        <v>9</v>
      </c>
      <c r="F66" s="15" t="s">
        <v>115</v>
      </c>
      <c r="G66" s="12"/>
      <c r="I66" s="14">
        <v>65</v>
      </c>
    </row>
    <row r="67" spans="1:9" x14ac:dyDescent="0.25">
      <c r="A67" t="s">
        <v>116</v>
      </c>
      <c r="B67" t="s">
        <v>117</v>
      </c>
      <c r="C67" t="s">
        <v>117</v>
      </c>
      <c r="D67" t="s">
        <v>3</v>
      </c>
      <c r="E67" t="s">
        <v>118</v>
      </c>
      <c r="F67" s="15" t="s">
        <v>115</v>
      </c>
      <c r="G67" s="3"/>
      <c r="I67" s="14">
        <v>66</v>
      </c>
    </row>
    <row r="68" spans="1:9" x14ac:dyDescent="0.25">
      <c r="A68" t="s">
        <v>116</v>
      </c>
      <c r="B68" t="s">
        <v>267</v>
      </c>
      <c r="C68" t="s">
        <v>267</v>
      </c>
      <c r="D68" t="s">
        <v>3</v>
      </c>
      <c r="E68" t="s">
        <v>268</v>
      </c>
      <c r="F68" s="15" t="s">
        <v>115</v>
      </c>
      <c r="G68" s="3"/>
      <c r="I68" s="14">
        <v>67</v>
      </c>
    </row>
    <row r="69" spans="1:9" x14ac:dyDescent="0.25">
      <c r="A69" t="s">
        <v>116</v>
      </c>
      <c r="B69" t="s">
        <v>270</v>
      </c>
      <c r="C69" t="s">
        <v>270</v>
      </c>
      <c r="D69" t="s">
        <v>3</v>
      </c>
      <c r="E69" t="s">
        <v>270</v>
      </c>
      <c r="F69" s="15" t="s">
        <v>115</v>
      </c>
      <c r="G69" s="3"/>
      <c r="I69" s="14">
        <v>68</v>
      </c>
    </row>
    <row r="70" spans="1:9" x14ac:dyDescent="0.25">
      <c r="A70" t="s">
        <v>116</v>
      </c>
      <c r="B70" t="s">
        <v>271</v>
      </c>
      <c r="C70" t="s">
        <v>271</v>
      </c>
      <c r="D70" t="s">
        <v>3</v>
      </c>
      <c r="E70" t="s">
        <v>271</v>
      </c>
      <c r="F70" s="15" t="s">
        <v>115</v>
      </c>
      <c r="G70" s="3"/>
      <c r="I70" s="14">
        <v>69</v>
      </c>
    </row>
    <row r="71" spans="1:9" s="11" customFormat="1" x14ac:dyDescent="0.25">
      <c r="A71" s="11" t="s">
        <v>116</v>
      </c>
      <c r="B71" s="11" t="s">
        <v>130</v>
      </c>
      <c r="C71" s="11" t="s">
        <v>130</v>
      </c>
      <c r="D71" s="11" t="s">
        <v>3</v>
      </c>
      <c r="E71" s="11" t="s">
        <v>269</v>
      </c>
      <c r="F71" s="15" t="s">
        <v>115</v>
      </c>
      <c r="G71" s="12"/>
      <c r="I71" s="14">
        <v>70</v>
      </c>
    </row>
    <row r="72" spans="1:9" s="11" customFormat="1" x14ac:dyDescent="0.25">
      <c r="A72" s="11" t="s">
        <v>116</v>
      </c>
      <c r="B72" s="11" t="s">
        <v>128</v>
      </c>
      <c r="C72" s="11" t="s">
        <v>128</v>
      </c>
      <c r="D72" s="11" t="s">
        <v>3</v>
      </c>
      <c r="E72" s="11" t="s">
        <v>128</v>
      </c>
      <c r="F72" s="15" t="s">
        <v>115</v>
      </c>
      <c r="G72" s="12"/>
      <c r="I72" s="14">
        <v>71</v>
      </c>
    </row>
    <row r="73" spans="1:9" s="11" customFormat="1" x14ac:dyDescent="0.25">
      <c r="A73" s="11" t="s">
        <v>116</v>
      </c>
      <c r="B73" s="11" t="s">
        <v>129</v>
      </c>
      <c r="C73" s="11" t="s">
        <v>129</v>
      </c>
      <c r="D73" s="11" t="s">
        <v>3</v>
      </c>
      <c r="E73" s="11" t="s">
        <v>129</v>
      </c>
      <c r="F73" s="15" t="s">
        <v>115</v>
      </c>
      <c r="G73" s="12"/>
      <c r="I73" s="14">
        <v>72</v>
      </c>
    </row>
    <row r="74" spans="1:9" s="9" customFormat="1" x14ac:dyDescent="0.25">
      <c r="A74" s="9" t="s">
        <v>116</v>
      </c>
      <c r="B74" s="9" t="s">
        <v>131</v>
      </c>
      <c r="C74" s="9" t="s">
        <v>131</v>
      </c>
      <c r="D74" s="9" t="s">
        <v>3</v>
      </c>
      <c r="E74" s="9" t="s">
        <v>133</v>
      </c>
      <c r="F74" s="15" t="s">
        <v>115</v>
      </c>
      <c r="G74" s="10"/>
      <c r="I74" s="14">
        <v>73</v>
      </c>
    </row>
    <row r="75" spans="1:9" s="9" customFormat="1" x14ac:dyDescent="0.25">
      <c r="A75" s="9" t="s">
        <v>116</v>
      </c>
      <c r="B75" s="9" t="s">
        <v>114</v>
      </c>
      <c r="C75" s="9" t="s">
        <v>114</v>
      </c>
      <c r="D75" s="9" t="s">
        <v>11</v>
      </c>
      <c r="E75" s="9" t="s">
        <v>132</v>
      </c>
      <c r="F75" s="15" t="s">
        <v>115</v>
      </c>
      <c r="G75" s="10"/>
      <c r="I75" s="14">
        <v>74</v>
      </c>
    </row>
    <row r="76" spans="1:9" s="11" customFormat="1" x14ac:dyDescent="0.25">
      <c r="A76" s="11" t="s">
        <v>116</v>
      </c>
      <c r="B76" s="11" t="s">
        <v>134</v>
      </c>
      <c r="C76" s="11" t="s">
        <v>134</v>
      </c>
      <c r="D76" s="11" t="s">
        <v>3</v>
      </c>
      <c r="E76" s="11" t="s">
        <v>134</v>
      </c>
      <c r="F76" s="15" t="s">
        <v>115</v>
      </c>
      <c r="G76" s="12"/>
      <c r="I76" s="14">
        <v>75</v>
      </c>
    </row>
    <row r="77" spans="1:9" s="9" customFormat="1" x14ac:dyDescent="0.25">
      <c r="A77" s="9" t="s">
        <v>116</v>
      </c>
      <c r="B77" s="9" t="s">
        <v>136</v>
      </c>
      <c r="C77" s="9" t="s">
        <v>136</v>
      </c>
      <c r="D77" s="9" t="s">
        <v>3</v>
      </c>
      <c r="E77" s="17" t="s">
        <v>135</v>
      </c>
      <c r="F77" s="15" t="s">
        <v>115</v>
      </c>
      <c r="G77" s="10"/>
      <c r="I77" s="14">
        <v>76</v>
      </c>
    </row>
    <row r="78" spans="1:9" s="11" customFormat="1" x14ac:dyDescent="0.25">
      <c r="A78" s="11" t="s">
        <v>116</v>
      </c>
      <c r="B78" s="11" t="s">
        <v>140</v>
      </c>
      <c r="C78" s="11" t="s">
        <v>140</v>
      </c>
      <c r="D78" s="11" t="s">
        <v>3</v>
      </c>
      <c r="E78" s="11" t="s">
        <v>141</v>
      </c>
      <c r="F78" s="15" t="s">
        <v>115</v>
      </c>
      <c r="G78" s="12"/>
      <c r="I78" s="14">
        <v>77</v>
      </c>
    </row>
    <row r="79" spans="1:9" s="11" customFormat="1" x14ac:dyDescent="0.25">
      <c r="A79" s="11" t="s">
        <v>116</v>
      </c>
      <c r="B79" s="11" t="s">
        <v>143</v>
      </c>
      <c r="C79" s="11" t="s">
        <v>143</v>
      </c>
      <c r="D79" s="11" t="s">
        <v>3</v>
      </c>
      <c r="E79" s="11" t="s">
        <v>142</v>
      </c>
      <c r="F79" s="15" t="s">
        <v>115</v>
      </c>
      <c r="G79" s="12"/>
      <c r="I79" s="14">
        <v>78</v>
      </c>
    </row>
    <row r="80" spans="1:9" s="11" customFormat="1" x14ac:dyDescent="0.25">
      <c r="A80" s="11" t="s">
        <v>116</v>
      </c>
      <c r="B80" s="11" t="s">
        <v>144</v>
      </c>
      <c r="C80" s="11" t="s">
        <v>144</v>
      </c>
      <c r="D80" s="11" t="s">
        <v>3</v>
      </c>
      <c r="E80" s="11" t="s">
        <v>145</v>
      </c>
      <c r="F80" s="15" t="s">
        <v>115</v>
      </c>
      <c r="G80" s="12"/>
      <c r="I80" s="14">
        <v>79</v>
      </c>
    </row>
    <row r="81" spans="1:9" s="11" customFormat="1" x14ac:dyDescent="0.25">
      <c r="A81" s="11" t="s">
        <v>116</v>
      </c>
      <c r="B81" s="11" t="s">
        <v>146</v>
      </c>
      <c r="C81" s="11" t="s">
        <v>146</v>
      </c>
      <c r="D81" s="11" t="s">
        <v>3</v>
      </c>
      <c r="E81" s="11" t="s">
        <v>147</v>
      </c>
      <c r="F81" s="15" t="s">
        <v>115</v>
      </c>
      <c r="G81" s="12"/>
      <c r="I81" s="14">
        <v>80</v>
      </c>
    </row>
    <row r="82" spans="1:9" s="9" customFormat="1" x14ac:dyDescent="0.25">
      <c r="A82" s="9" t="s">
        <v>116</v>
      </c>
      <c r="B82" s="9" t="s">
        <v>148</v>
      </c>
      <c r="C82" s="9" t="s">
        <v>120</v>
      </c>
      <c r="D82" s="9" t="s">
        <v>11</v>
      </c>
      <c r="E82" s="9" t="s">
        <v>149</v>
      </c>
      <c r="F82" s="15" t="s">
        <v>115</v>
      </c>
      <c r="G82" s="10"/>
      <c r="I82" s="14">
        <v>81</v>
      </c>
    </row>
    <row r="83" spans="1:9" s="9" customFormat="1" x14ac:dyDescent="0.25">
      <c r="A83" s="9" t="s">
        <v>116</v>
      </c>
      <c r="B83" s="9" t="s">
        <v>121</v>
      </c>
      <c r="C83" s="9" t="s">
        <v>121</v>
      </c>
      <c r="D83" s="9" t="s">
        <v>11</v>
      </c>
      <c r="E83" s="9" t="s">
        <v>150</v>
      </c>
      <c r="F83" s="15" t="s">
        <v>115</v>
      </c>
      <c r="G83" s="10"/>
      <c r="I83" s="14">
        <v>82</v>
      </c>
    </row>
    <row r="84" spans="1:9" x14ac:dyDescent="0.25">
      <c r="I84" s="14"/>
    </row>
    <row r="85" spans="1:9" x14ac:dyDescent="0.25">
      <c r="I85" s="14"/>
    </row>
    <row r="86" spans="1:9" x14ac:dyDescent="0.25">
      <c r="I86" s="14"/>
    </row>
    <row r="87" spans="1:9" x14ac:dyDescent="0.25">
      <c r="I87" s="14"/>
    </row>
    <row r="88" spans="1:9" x14ac:dyDescent="0.25">
      <c r="I88" s="14"/>
    </row>
    <row r="89" spans="1:9" x14ac:dyDescent="0.25">
      <c r="A89" t="s">
        <v>177</v>
      </c>
      <c r="I89" s="14"/>
    </row>
    <row r="90" spans="1:9" x14ac:dyDescent="0.25">
      <c r="A90" s="11" t="s">
        <v>137</v>
      </c>
      <c r="I90" s="14"/>
    </row>
    <row r="91" spans="1:9" x14ac:dyDescent="0.25">
      <c r="A91" s="9" t="s">
        <v>138</v>
      </c>
      <c r="I91" s="14"/>
    </row>
    <row r="92" spans="1:9" x14ac:dyDescent="0.25">
      <c r="A92" s="13" t="s">
        <v>139</v>
      </c>
      <c r="I92" s="14"/>
    </row>
    <row r="93" spans="1:9" x14ac:dyDescent="0.25">
      <c r="A93" s="14" t="s">
        <v>176</v>
      </c>
      <c r="I93" s="14"/>
    </row>
  </sheetData>
  <dataValidations count="1">
    <dataValidation type="list" allowBlank="1" showInputMessage="1" showErrorMessage="1" sqref="D2:D83" xr:uid="{177C184D-1931-4DAD-9646-1B6B0771E332}">
      <formula1>Fieldtypes</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5"/>
  <sheetViews>
    <sheetView workbookViewId="0">
      <selection activeCell="B1" sqref="B1:B3"/>
    </sheetView>
  </sheetViews>
  <sheetFormatPr defaultRowHeight="15" x14ac:dyDescent="0.25"/>
  <cols>
    <col min="1" max="1" width="34.85546875" customWidth="1"/>
    <col min="2" max="2" width="32.7109375" customWidth="1"/>
  </cols>
  <sheetData>
    <row r="1" spans="1:2" x14ac:dyDescent="0.25">
      <c r="A1" s="2" t="str">
        <f>"TEKST"</f>
        <v>TEKST</v>
      </c>
      <c r="B1" t="s">
        <v>65</v>
      </c>
    </row>
    <row r="2" spans="1:2" x14ac:dyDescent="0.25">
      <c r="A2" t="s">
        <v>3</v>
      </c>
      <c r="B2" t="s">
        <v>66</v>
      </c>
    </row>
    <row r="3" spans="1:2" x14ac:dyDescent="0.25">
      <c r="A3" t="s">
        <v>5</v>
      </c>
      <c r="B3" t="s">
        <v>67</v>
      </c>
    </row>
    <row r="4" spans="1:2" x14ac:dyDescent="0.25">
      <c r="A4" t="s">
        <v>4</v>
      </c>
    </row>
    <row r="5" spans="1:2" x14ac:dyDescent="0.25">
      <c r="A5"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InputsOndergrondscenarios</vt:lpstr>
      <vt:lpstr>Outputs</vt:lpstr>
      <vt:lpstr>Lookup</vt:lpstr>
      <vt:lpstr>Fieldtypes</vt:lpstr>
      <vt:lpstr>KoppelingTypen</vt:lpstr>
    </vt:vector>
  </TitlesOfParts>
  <Company>Royal Haskoning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Dirk Voesenek</dc:creator>
  <cp:lastModifiedBy>Dirk Voesenek</cp:lastModifiedBy>
  <dcterms:created xsi:type="dcterms:W3CDTF">2016-08-24T07:56:22Z</dcterms:created>
  <dcterms:modified xsi:type="dcterms:W3CDTF">2020-09-02T14:55:07Z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70ecb400-4b25-455b-ae14-cf8d7136e40b</vt:lpwstr>
  </property>
</Properties>
</file>