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0. WBI2017\_Spreadsheets\"/>
    </mc:Choice>
  </mc:AlternateContent>
  <bookViews>
    <workbookView xWindow="0" yWindow="0" windowWidth="20490" windowHeight="8295" activeTab="1"/>
  </bookViews>
  <sheets>
    <sheet name="LEESMIJ" sheetId="2" r:id="rId1"/>
    <sheet name="rekenblad" sheetId="1" r:id="rId2"/>
    <sheet name="formules" sheetId="3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D8" i="1"/>
  <c r="T9" i="1"/>
  <c r="T8" i="1"/>
  <c r="T7" i="1"/>
  <c r="Q9" i="1"/>
  <c r="U9" i="1"/>
  <c r="R9" i="1"/>
  <c r="S9" i="1"/>
  <c r="D6" i="1" l="1"/>
  <c r="T6" i="1"/>
  <c r="Q7" i="1"/>
  <c r="Q8" i="1"/>
  <c r="U8" i="1"/>
  <c r="R8" i="1"/>
  <c r="S8" i="1"/>
  <c r="Q6" i="1"/>
  <c r="S6" i="1"/>
  <c r="R6" i="1"/>
  <c r="U6" i="1"/>
  <c r="R7" i="1"/>
  <c r="S7" i="1"/>
  <c r="U7" i="1"/>
</calcChain>
</file>

<file path=xl/comments1.xml><?xml version="1.0" encoding="utf-8"?>
<comments xmlns="http://schemas.openxmlformats.org/spreadsheetml/2006/main">
  <authors>
    <author>Jan-Kees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 xml:space="preserve">bij kleidijk:
</t>
        </r>
        <r>
          <rPr>
            <sz val="9"/>
            <color indexed="81"/>
            <rFont val="Tahoma"/>
            <family val="2"/>
          </rPr>
          <t>d= dikte van afschuivende laag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phi betreft klei. Voor zand is uitgegaan van 30° (in form. Afschuiven zanddijk met kleibekleiding).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<sst xmlns="http://schemas.openxmlformats.org/spreadsheetml/2006/main" count="86" uniqueCount="61">
  <si>
    <t>taludhelling</t>
  </si>
  <si>
    <t>laagdikte</t>
  </si>
  <si>
    <t>ligging freatisch
vlak</t>
  </si>
  <si>
    <t>teenniveau</t>
  </si>
  <si>
    <t>effectieve hoek 
inwendige wrijving</t>
  </si>
  <si>
    <t>effectieve cohesie</t>
  </si>
  <si>
    <t>volumieke massa
natte grond</t>
  </si>
  <si>
    <t>volumieke massa
water</t>
  </si>
  <si>
    <r>
      <t>veiligheidsfactor 
c</t>
    </r>
    <r>
      <rPr>
        <sz val="11"/>
        <color theme="1"/>
        <rFont val="Calibri"/>
        <family val="2"/>
      </rPr>
      <t>'</t>
    </r>
  </si>
  <si>
    <t>veiligheidsfactor 
volumieke massa</t>
  </si>
  <si>
    <t>modelfactor</t>
  </si>
  <si>
    <t>schadefactor</t>
  </si>
  <si>
    <t>d</t>
  </si>
  <si>
    <t>h</t>
  </si>
  <si>
    <t>z</t>
  </si>
  <si>
    <t>c´</t>
  </si>
  <si>
    <r>
      <t>ρ</t>
    </r>
    <r>
      <rPr>
        <vertAlign val="subscript"/>
        <sz val="11"/>
        <color theme="1"/>
        <rFont val="Calibri"/>
        <family val="2"/>
        <scheme val="minor"/>
      </rPr>
      <t>g</t>
    </r>
  </si>
  <si>
    <r>
      <t>ρ</t>
    </r>
    <r>
      <rPr>
        <vertAlign val="subscript"/>
        <sz val="11"/>
        <color theme="1"/>
        <rFont val="Calibri"/>
        <family val="2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</si>
  <si>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scheme val="minor"/>
      </rPr>
      <t>m,c</t>
    </r>
  </si>
  <si>
    <r>
      <t>γ</t>
    </r>
    <r>
      <rPr>
        <vertAlign val="subscript"/>
        <sz val="11"/>
        <color theme="1"/>
        <rFont val="Calibri"/>
        <family val="2"/>
        <scheme val="minor"/>
      </rPr>
      <t>m,</t>
    </r>
    <r>
      <rPr>
        <b/>
        <vertAlign val="subscript"/>
        <sz val="11"/>
        <color theme="1"/>
        <rFont val="Calibri"/>
        <family val="2"/>
        <scheme val="minor"/>
      </rPr>
      <t>ρ</t>
    </r>
  </si>
  <si>
    <r>
      <t>γ</t>
    </r>
    <r>
      <rPr>
        <b/>
        <vertAlign val="subscript"/>
        <sz val="11"/>
        <color theme="1"/>
        <rFont val="Calibri"/>
        <family val="2"/>
        <scheme val="minor"/>
      </rPr>
      <t>d</t>
    </r>
  </si>
  <si>
    <r>
      <t>γ</t>
    </r>
    <r>
      <rPr>
        <b/>
        <vertAlign val="subscript"/>
        <sz val="11"/>
        <color theme="1"/>
        <rFont val="Calibri"/>
        <family val="2"/>
        <scheme val="minor"/>
      </rPr>
      <t>n</t>
    </r>
  </si>
  <si>
    <t>#</t>
  </si>
  <si>
    <t>dijktype</t>
  </si>
  <si>
    <r>
      <t>[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]</t>
    </r>
  </si>
  <si>
    <t>[m]</t>
  </si>
  <si>
    <t>[Pa]</t>
  </si>
  <si>
    <r>
      <t>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</si>
  <si>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[-]</t>
  </si>
  <si>
    <t>zanddijk met kleibekleding</t>
  </si>
  <si>
    <t>tan(α)</t>
  </si>
  <si>
    <t>kleidijk</t>
  </si>
  <si>
    <t>INVOER</t>
  </si>
  <si>
    <t>UITVOER</t>
  </si>
  <si>
    <t>opdrukken</t>
  </si>
  <si>
    <t>uitspoelen</t>
  </si>
  <si>
    <t>afschuiven</t>
  </si>
  <si>
    <t>SF [-]</t>
  </si>
  <si>
    <r>
      <t>veiligheidsfactor 
tan</t>
    </r>
    <r>
      <rPr>
        <sz val="11"/>
        <color theme="2" tint="-0.499984740745262"/>
        <rFont val="Calibri"/>
        <family val="2"/>
      </rPr>
      <t>φ'</t>
    </r>
  </si>
  <si>
    <r>
      <t>γ</t>
    </r>
    <r>
      <rPr>
        <vertAlign val="subscript"/>
        <sz val="11"/>
        <color theme="2" tint="-0.499984740745262"/>
        <rFont val="Calibri"/>
        <family val="2"/>
        <scheme val="minor"/>
      </rPr>
      <t>m,φ</t>
    </r>
  </si>
  <si>
    <t>[m+NAP]</t>
  </si>
  <si>
    <t>eenvoudig</t>
  </si>
  <si>
    <t>gedetaill.</t>
  </si>
  <si>
    <t>φ´</t>
  </si>
  <si>
    <t>opdrukken gedetailleerd</t>
  </si>
  <si>
    <t>Deze sheet bevat formules voor:</t>
  </si>
  <si>
    <t>- kleidijk</t>
  </si>
  <si>
    <t>- zanddijk met kleibekleding</t>
  </si>
  <si>
    <t>gevalideerd met getallenvoorbeelden SH Microstabiliteit</t>
  </si>
  <si>
    <t>Zanddijk met kleibekleding</t>
  </si>
  <si>
    <t>Kleidijk</t>
  </si>
  <si>
    <t>Afschuiven</t>
  </si>
  <si>
    <t>gevalideerd met grafiek Fig. C.3 SH Microstabiliteit
toevoeging: als SF&gt;10 of SF&lt;0 dan SF =10</t>
  </si>
  <si>
    <r>
      <rPr>
        <b/>
        <sz val="11"/>
        <color rgb="FFC00000"/>
        <rFont val="Calibri"/>
        <family val="2"/>
        <scheme val="minor"/>
      </rPr>
      <t>!</t>
    </r>
    <r>
      <rPr>
        <sz val="11"/>
        <color theme="1"/>
        <rFont val="Calibri"/>
        <family val="2"/>
        <scheme val="minor"/>
      </rPr>
      <t xml:space="preserve"> niet gevalideerd</t>
    </r>
  </si>
  <si>
    <t>Validatie opdrukken</t>
  </si>
  <si>
    <t>validatie opdrukken 1</t>
  </si>
  <si>
    <t>validatie opdrukken 2</t>
  </si>
  <si>
    <t>validatie afschuiven</t>
  </si>
  <si>
    <t>test</t>
  </si>
  <si>
    <t>gevalideerd met getallenvoorbeeld SH Microstabiliteit</t>
  </si>
  <si>
    <t>berekening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</si>
</sst>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rgb="FF000000"/>
      <name val="Verdana"/>
      <family val="2"/>
    </font>
    <font>
      <b/>
      <sz val="11"/>
      <color theme="1" tint="0.34998626667073579"/>
      <name val="Calibri"/>
      <family val="2"/>
      <scheme val="minor"/>
    </font>
    <font>
      <sz val="11"/>
      <color theme="2" tint="-0.499984740745262"/>
      <name val="Calibri"/>
      <family val="2"/>
    </font>
    <font>
      <vertAlign val="subscript"/>
      <sz val="11"/>
      <color theme="2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5" fillId="0" borderId="0" xfId="0" applyFont="1"/>
    <xf numFmtId="0" fontId="0" fillId="0" borderId="4" xfId="0" applyBorder="1"/>
    <xf numFmtId="0" fontId="1" fillId="0" borderId="4" xfId="0" applyFont="1" applyBorder="1"/>
    <xf numFmtId="164" fontId="0" fillId="0" borderId="4" xfId="0" applyNumberFormat="1" applyBorder="1"/>
    <xf numFmtId="2" fontId="0" fillId="0" borderId="4" xfId="0" applyNumberFormat="1" applyBorder="1"/>
    <xf numFmtId="2" fontId="0" fillId="0" borderId="4" xfId="0" applyNumberFormat="1" applyBorder="1" applyAlignment="1">
      <alignment horizontal="center"/>
    </xf>
    <xf numFmtId="0" fontId="0" fillId="0" borderId="0" xfId="0" applyAlignment="1">
      <alignment vertical="center"/>
    </xf>
    <xf numFmtId="2" fontId="0" fillId="0" borderId="0" xfId="0" applyNumberFormat="1"/>
    <xf numFmtId="0" fontId="0" fillId="2" borderId="0" xfId="0" applyFill="1"/>
    <xf numFmtId="0" fontId="0" fillId="2" borderId="4" xfId="0" applyFill="1" applyBorder="1" applyAlignment="1">
      <alignment vertical="center"/>
    </xf>
    <xf numFmtId="0" fontId="0" fillId="2" borderId="4" xfId="0" applyFill="1" applyBorder="1"/>
    <xf numFmtId="0" fontId="0" fillId="3" borderId="1" xfId="0" applyFill="1" applyBorder="1" applyAlignment="1">
      <alignment horizontal="center" textRotation="90"/>
    </xf>
    <xf numFmtId="0" fontId="0" fillId="3" borderId="1" xfId="0" applyFill="1" applyBorder="1" applyAlignment="1">
      <alignment horizontal="center" textRotation="90" wrapText="1"/>
    </xf>
    <xf numFmtId="0" fontId="0" fillId="3" borderId="2" xfId="0" applyFill="1" applyBorder="1" applyAlignment="1">
      <alignment horizontal="center" textRotation="90"/>
    </xf>
    <xf numFmtId="0" fontId="0" fillId="3" borderId="2" xfId="0" applyFill="1" applyBorder="1" applyAlignment="1">
      <alignment horizontal="center" textRotation="90" wrapText="1"/>
    </xf>
    <xf numFmtId="0" fontId="0" fillId="3" borderId="2" xfId="0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5" fillId="2" borderId="0" xfId="0" applyFont="1" applyFill="1"/>
    <xf numFmtId="0" fontId="5" fillId="2" borderId="0" xfId="0" quotePrefix="1" applyFont="1" applyFill="1"/>
    <xf numFmtId="0" fontId="0" fillId="2" borderId="8" xfId="0" quotePrefix="1" applyFill="1" applyBorder="1"/>
    <xf numFmtId="0" fontId="0" fillId="2" borderId="8" xfId="0" applyFill="1" applyBorder="1"/>
    <xf numFmtId="0" fontId="10" fillId="2" borderId="0" xfId="0" applyFont="1" applyFill="1"/>
    <xf numFmtId="0" fontId="11" fillId="2" borderId="0" xfId="0" applyFont="1" applyFill="1"/>
    <xf numFmtId="0" fontId="11" fillId="0" borderId="0" xfId="0" applyFont="1"/>
    <xf numFmtId="0" fontId="0" fillId="0" borderId="4" xfId="0" applyBorder="1" applyAlignment="1">
      <alignment vertical="top"/>
    </xf>
    <xf numFmtId="0" fontId="0" fillId="2" borderId="8" xfId="0" applyFont="1" applyFill="1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6" fillId="5" borderId="5" xfId="0" applyFont="1" applyFill="1" applyBorder="1"/>
    <xf numFmtId="0" fontId="6" fillId="5" borderId="6" xfId="0" applyFont="1" applyFill="1" applyBorder="1"/>
    <xf numFmtId="0" fontId="0" fillId="4" borderId="1" xfId="0" applyFill="1" applyBorder="1" applyAlignment="1">
      <alignment horizontal="center" textRotation="90"/>
    </xf>
    <xf numFmtId="0" fontId="0" fillId="4" borderId="1" xfId="0" applyFill="1" applyBorder="1" applyAlignment="1">
      <alignment textRotation="90"/>
    </xf>
    <xf numFmtId="0" fontId="0" fillId="4" borderId="2" xfId="0" applyFill="1" applyBorder="1" applyAlignment="1">
      <alignment horizontal="center" textRotation="90"/>
    </xf>
    <xf numFmtId="0" fontId="0" fillId="4" borderId="2" xfId="0" applyFill="1" applyBorder="1" applyAlignment="1">
      <alignment vertical="center"/>
    </xf>
    <xf numFmtId="0" fontId="0" fillId="4" borderId="3" xfId="0" applyFill="1" applyBorder="1"/>
    <xf numFmtId="0" fontId="12" fillId="4" borderId="2" xfId="0" applyFont="1" applyFill="1" applyBorder="1" applyAlignment="1">
      <alignment vertical="center"/>
    </xf>
    <xf numFmtId="0" fontId="0" fillId="2" borderId="0" xfId="0" applyFont="1" applyFill="1" applyBorder="1" applyAlignment="1">
      <alignment wrapText="1"/>
    </xf>
    <xf numFmtId="0" fontId="0" fillId="2" borderId="0" xfId="0" applyFill="1" applyAlignment="1">
      <alignment vertical="top"/>
    </xf>
    <xf numFmtId="0" fontId="6" fillId="6" borderId="5" xfId="0" applyFont="1" applyFill="1" applyBorder="1"/>
    <xf numFmtId="0" fontId="6" fillId="6" borderId="6" xfId="0" applyFont="1" applyFill="1" applyBorder="1"/>
  </cellXfs>
  <cellStyles count="1">
    <cellStyle name="Standaard" xfId="0" builtinId="0"/>
  </cellStyles>
  <dxfs count="25"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C00000"/>
      </font>
    </dxf>
    <dxf>
      <font>
        <color rgb="FFC000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C000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C00000"/>
      </font>
    </dxf>
    <dxf>
      <font>
        <color rgb="FFC000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C000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C00000"/>
      </font>
    </dxf>
    <dxf>
      <font>
        <color theme="0" tint="-0.34998626667073579"/>
      </font>
      <fill>
        <patternFill>
          <bgColor theme="0" tint="-0.24994659260841701"/>
        </patternFill>
      </fill>
    </dxf>
    <dxf>
      <font>
        <color rgb="FFC000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b="1"/>
              <a:t>validatie uitspoelen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rekenblad!$T$9</c:f>
              <c:numCache>
                <c:formatCode>0.00</c:formatCode>
                <c:ptCount val="1"/>
                <c:pt idx="0">
                  <c:v>0.14759363176905019</c:v>
                </c:pt>
              </c:numCache>
            </c:numRef>
          </c:xVal>
          <c:yVal>
            <c:numRef>
              <c:f>rekenblad!$X$9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B9-4127-B706-A3CFDDA48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764976"/>
        <c:axId val="1932859792"/>
      </c:scatterChart>
      <c:valAx>
        <c:axId val="1936764976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SF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32859792"/>
        <c:crosses val="autoZero"/>
        <c:crossBetween val="midCat"/>
        <c:majorUnit val="0.2"/>
        <c:minorUnit val="0.2"/>
      </c:valAx>
      <c:valAx>
        <c:axId val="1932859792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h-z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36764976"/>
        <c:crosses val="autoZero"/>
        <c:crossBetween val="midCat"/>
        <c:majorUnit val="0.2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chart" Target="../charts/chart1.xml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95249</xdr:colOff>
      <xdr:row>2</xdr:row>
      <xdr:rowOff>266699</xdr:rowOff>
    </xdr:from>
    <xdr:to>
      <xdr:col>2</xdr:col>
      <xdr:colOff>2418920</xdr:colOff>
      <xdr:row>2</xdr:row>
      <xdr:rowOff>1038054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E355B998-B905-4956-965C-AB50E73F46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6431"/>
        <a:stretch/>
      </xdr:blipFill>
      <xdr:spPr>
        <a:xfrm>
          <a:off x="1657349" y="1847849"/>
          <a:ext cx="2323671" cy="771355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1</xdr:row>
      <xdr:rowOff>165304</xdr:rowOff>
    </xdr:from>
    <xdr:to>
      <xdr:col>2</xdr:col>
      <xdr:colOff>4723444</xdr:colOff>
      <xdr:row>1</xdr:row>
      <xdr:rowOff>1104707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C1607D3A-805D-43CC-A714-C78C26C10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2050" y="546304"/>
          <a:ext cx="4685344" cy="939403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3</xdr:row>
      <xdr:rowOff>293543</xdr:rowOff>
    </xdr:from>
    <xdr:to>
      <xdr:col>2</xdr:col>
      <xdr:colOff>2333193</xdr:colOff>
      <xdr:row>3</xdr:row>
      <xdr:rowOff>1038071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83CD6043-A8B6-4DB1-9CCC-1DA354350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0225" y="3074843"/>
          <a:ext cx="2095068" cy="744528"/>
        </a:xfrm>
        <a:prstGeom prst="rect">
          <a:avLst/>
        </a:prstGeom>
      </xdr:spPr>
    </xdr:pic>
    <xdr:clientData/>
  </xdr:twoCellAnchor>
  <xdr:twoCellAnchor editAs="oneCell">
    <xdr:from>
      <xdr:col>2</xdr:col>
      <xdr:colOff>2095499</xdr:colOff>
      <xdr:row>3</xdr:row>
      <xdr:rowOff>95250</xdr:rowOff>
    </xdr:from>
    <xdr:to>
      <xdr:col>2</xdr:col>
      <xdr:colOff>5210194</xdr:colOff>
      <xdr:row>3</xdr:row>
      <xdr:rowOff>1076121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29F2FCEB-0573-4C3F-BDBE-660CBB03B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7599" y="2876550"/>
          <a:ext cx="3114695" cy="9808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38100</xdr:rowOff>
    </xdr:from>
    <xdr:to>
      <xdr:col>2</xdr:col>
      <xdr:colOff>2037900</xdr:colOff>
      <xdr:row>16</xdr:row>
      <xdr:rowOff>124331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6FFEEC95-E32B-4F90-BADA-FA4BD609F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4286250"/>
          <a:ext cx="3600000" cy="1991231"/>
        </a:xfrm>
        <a:prstGeom prst="rect">
          <a:avLst/>
        </a:prstGeom>
      </xdr:spPr>
    </xdr:pic>
    <xdr:clientData/>
  </xdr:twoCellAnchor>
  <xdr:twoCellAnchor editAs="oneCell">
    <xdr:from>
      <xdr:col>2</xdr:col>
      <xdr:colOff>2162310</xdr:colOff>
      <xdr:row>6</xdr:row>
      <xdr:rowOff>9524</xdr:rowOff>
    </xdr:from>
    <xdr:to>
      <xdr:col>2</xdr:col>
      <xdr:colOff>3733482</xdr:colOff>
      <xdr:row>12</xdr:row>
      <xdr:rowOff>114047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346EC08C-C45D-4AD2-B77E-4D4DE119D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72035" y="4257674"/>
          <a:ext cx="1571172" cy="1247523"/>
        </a:xfrm>
        <a:prstGeom prst="rect">
          <a:avLst/>
        </a:prstGeom>
      </xdr:spPr>
    </xdr:pic>
    <xdr:clientData/>
  </xdr:twoCellAnchor>
  <xdr:twoCellAnchor editAs="oneCell">
    <xdr:from>
      <xdr:col>2</xdr:col>
      <xdr:colOff>2190750</xdr:colOff>
      <xdr:row>18</xdr:row>
      <xdr:rowOff>128858</xdr:rowOff>
    </xdr:from>
    <xdr:to>
      <xdr:col>2</xdr:col>
      <xdr:colOff>3743032</xdr:colOff>
      <xdr:row>25</xdr:row>
      <xdr:rowOff>133097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A3C898B2-23FF-4604-AFFB-7864DA1B1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00475" y="6320108"/>
          <a:ext cx="1552282" cy="13377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123825</xdr:rowOff>
    </xdr:from>
    <xdr:to>
      <xdr:col>2</xdr:col>
      <xdr:colOff>1990275</xdr:colOff>
      <xdr:row>27</xdr:row>
      <xdr:rowOff>6653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97FCB86A-F9CE-436D-B004-849E5C470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5934075"/>
          <a:ext cx="3600000" cy="1978328"/>
        </a:xfrm>
        <a:prstGeom prst="rect">
          <a:avLst/>
        </a:prstGeom>
      </xdr:spPr>
    </xdr:pic>
    <xdr:clientData/>
  </xdr:twoCellAnchor>
  <xdr:twoCellAnchor editAs="oneCell">
    <xdr:from>
      <xdr:col>4</xdr:col>
      <xdr:colOff>106595</xdr:colOff>
      <xdr:row>1</xdr:row>
      <xdr:rowOff>333904</xdr:rowOff>
    </xdr:from>
    <xdr:to>
      <xdr:col>4</xdr:col>
      <xdr:colOff>4037617</xdr:colOff>
      <xdr:row>1</xdr:row>
      <xdr:rowOff>1076325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81972142-5EF6-4E73-B770-CDF06BF3A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45645" y="591079"/>
          <a:ext cx="3931022" cy="74242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28</xdr:row>
      <xdr:rowOff>0</xdr:rowOff>
    </xdr:from>
    <xdr:to>
      <xdr:col>2</xdr:col>
      <xdr:colOff>3009900</xdr:colOff>
      <xdr:row>42</xdr:row>
      <xdr:rowOff>76200</xdr:rowOff>
    </xdr:to>
    <xdr:graphicFrame macro="">
      <xdr:nvGraphicFramePr>
        <xdr:cNvPr id="12" name="Grafiek 11">
          <a:extLst>
            <a:ext uri="{FF2B5EF4-FFF2-40B4-BE49-F238E27FC236}">
              <a16:creationId xmlns:a16="http://schemas.microsoft.com/office/drawing/2014/main" id="{5F76CF91-6374-4B7A-819D-2D9235CA2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45</xdr:row>
      <xdr:rowOff>0</xdr:rowOff>
    </xdr:from>
    <xdr:to>
      <xdr:col>2</xdr:col>
      <xdr:colOff>1914090</xdr:colOff>
      <xdr:row>52</xdr:row>
      <xdr:rowOff>123643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1EA0F3DF-77EC-4BFF-9919-E4739C221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625" y="11677650"/>
          <a:ext cx="3476190" cy="1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52</xdr:row>
      <xdr:rowOff>123825</xdr:rowOff>
    </xdr:from>
    <xdr:to>
      <xdr:col>2</xdr:col>
      <xdr:colOff>152189</xdr:colOff>
      <xdr:row>57</xdr:row>
      <xdr:rowOff>18944</xdr:rowOff>
    </xdr:to>
    <xdr:pic>
      <xdr:nvPicPr>
        <xdr:cNvPr id="14" name="Afbeelding 13">
          <a:extLst>
            <a:ext uri="{FF2B5EF4-FFF2-40B4-BE49-F238E27FC236}">
              <a16:creationId xmlns:a16="http://schemas.microsoft.com/office/drawing/2014/main" id="{E17FFAB3-4B86-41EA-AB5A-A044D1C7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6200" y="13134975"/>
          <a:ext cx="1685714" cy="847619"/>
        </a:xfrm>
        <a:prstGeom prst="rect">
          <a:avLst/>
        </a:prstGeom>
      </xdr:spPr>
    </xdr:pic>
    <xdr:clientData/>
  </xdr:twoCellAnchor>
  <xdr:twoCellAnchor editAs="oneCell">
    <xdr:from>
      <xdr:col>2</xdr:col>
      <xdr:colOff>2190750</xdr:colOff>
      <xdr:row>45</xdr:row>
      <xdr:rowOff>9525</xdr:rowOff>
    </xdr:from>
    <xdr:to>
      <xdr:col>4</xdr:col>
      <xdr:colOff>2732930</xdr:colOff>
      <xdr:row>57</xdr:row>
      <xdr:rowOff>190192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CB04B46F-A9C0-47F4-BF9B-38FEC171C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00475" y="11687175"/>
          <a:ext cx="5961905" cy="246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XFD8"/>
  <sheetViews>
    <sheetView workbookViewId="0">
      <selection activeCell="XFD1" sqref="XFD1:XFD1048576"/>
    </sheetView>
  </sheetViews>
  <sheetFormatPr defaultColWidth="0" defaultRowHeight="15" zeroHeight="1" x14ac:dyDescent="0.25"/>
  <cols>
    <col min="1" max="1" width="6.42578125" customWidth="1"/>
    <col min="2" max="2" width="27.42578125" customWidth="1"/>
    <col min="3" max="3" width="12.42578125" customWidth="1"/>
    <col min="4" max="4" width="59.42578125" customWidth="1"/>
    <col min="9" max="16383" width="9.140625" hidden="1"/>
    <col min="16384" max="16384" width="2.85546875" hidden="1" customWidth="1"/>
  </cols>
  <sheetData>
    <row r="1" spans="1:8" x14ac:dyDescent="0.25">
      <c r="A1" s="23" t="s">
        <v>45</v>
      </c>
      <c r="B1" s="9"/>
      <c r="C1" s="9"/>
      <c r="D1" s="9"/>
    </row>
    <row r="2" spans="1:8" x14ac:dyDescent="0.25">
      <c r="A2" s="9"/>
      <c r="B2" s="21" t="s">
        <v>46</v>
      </c>
      <c r="C2" s="22" t="s">
        <v>36</v>
      </c>
      <c r="D2" s="27" t="s">
        <v>53</v>
      </c>
      <c r="F2" s="1"/>
      <c r="G2" s="1"/>
      <c r="H2" s="1"/>
    </row>
    <row r="3" spans="1:8" x14ac:dyDescent="0.25">
      <c r="A3" s="9"/>
      <c r="B3" s="20" t="s">
        <v>47</v>
      </c>
      <c r="C3" s="9" t="s">
        <v>34</v>
      </c>
      <c r="D3" s="9" t="s">
        <v>48</v>
      </c>
      <c r="E3" s="1"/>
      <c r="G3" s="1"/>
    </row>
    <row r="4" spans="1:8" ht="30" x14ac:dyDescent="0.25">
      <c r="A4" s="19"/>
      <c r="B4" s="9"/>
      <c r="C4" s="44" t="s">
        <v>35</v>
      </c>
      <c r="D4" s="43" t="s">
        <v>52</v>
      </c>
      <c r="E4" s="1"/>
    </row>
    <row r="5" spans="1:8" x14ac:dyDescent="0.25">
      <c r="A5" s="19"/>
      <c r="B5" s="22"/>
      <c r="C5" s="22" t="s">
        <v>36</v>
      </c>
      <c r="D5" s="27" t="s">
        <v>59</v>
      </c>
    </row>
    <row r="6" spans="1:8" hidden="1" x14ac:dyDescent="0.25"/>
    <row r="7" spans="1:8" hidden="1" x14ac:dyDescent="0.25"/>
    <row r="8" spans="1:8" hidden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9"/>
  <sheetViews>
    <sheetView tabSelected="1" zoomScale="80" zoomScaleNormal="80" workbookViewId="0"/>
  </sheetViews>
  <sheetFormatPr defaultRowHeight="15" x14ac:dyDescent="0.25"/>
  <cols>
    <col min="1" max="1" width="2" customWidth="1"/>
    <col min="2" max="2" width="22.85546875" bestFit="1" customWidth="1"/>
    <col min="3" max="3" width="28.5703125" bestFit="1" customWidth="1"/>
    <col min="11" max="11" width="11.28515625" bestFit="1" customWidth="1"/>
    <col min="17" max="17" width="14.28515625" customWidth="1"/>
    <col min="18" max="18" width="15.5703125" hidden="1" customWidth="1"/>
    <col min="19" max="21" width="15.5703125" customWidth="1"/>
  </cols>
  <sheetData>
    <row r="1" spans="1:24" x14ac:dyDescent="0.25">
      <c r="D1" s="45" t="s">
        <v>32</v>
      </c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35" t="s">
        <v>33</v>
      </c>
      <c r="R1" s="36"/>
      <c r="S1" s="36"/>
      <c r="T1" s="36"/>
      <c r="U1" s="36"/>
    </row>
    <row r="2" spans="1:24" ht="87.75" customHeight="1" x14ac:dyDescent="0.25">
      <c r="A2" s="37"/>
      <c r="B2" s="37"/>
      <c r="C2" s="38"/>
      <c r="D2" s="12" t="s">
        <v>0</v>
      </c>
      <c r="E2" s="12" t="s">
        <v>1</v>
      </c>
      <c r="F2" s="13" t="s">
        <v>2</v>
      </c>
      <c r="G2" s="12" t="s">
        <v>3</v>
      </c>
      <c r="H2" s="13" t="s">
        <v>4</v>
      </c>
      <c r="I2" s="12" t="s">
        <v>5</v>
      </c>
      <c r="J2" s="13" t="s">
        <v>6</v>
      </c>
      <c r="K2" s="13" t="s">
        <v>7</v>
      </c>
      <c r="L2" s="13" t="s">
        <v>38</v>
      </c>
      <c r="M2" s="13" t="s">
        <v>8</v>
      </c>
      <c r="N2" s="13" t="s">
        <v>9</v>
      </c>
      <c r="O2" s="13" t="s">
        <v>10</v>
      </c>
      <c r="P2" s="13" t="s">
        <v>11</v>
      </c>
      <c r="Q2" s="28" t="s">
        <v>31</v>
      </c>
      <c r="R2" s="29" t="s">
        <v>29</v>
      </c>
      <c r="S2" s="30"/>
      <c r="T2" s="30"/>
      <c r="U2" s="31"/>
    </row>
    <row r="3" spans="1:24" ht="16.5" customHeight="1" x14ac:dyDescent="0.25">
      <c r="A3" s="39"/>
      <c r="B3" s="39"/>
      <c r="C3" s="42" t="s">
        <v>31</v>
      </c>
      <c r="D3" s="14"/>
      <c r="E3" s="14"/>
      <c r="F3" s="15"/>
      <c r="G3" s="14"/>
      <c r="H3" s="15"/>
      <c r="I3" s="14"/>
      <c r="J3" s="15"/>
      <c r="K3" s="15"/>
      <c r="L3" s="15"/>
      <c r="M3" s="15"/>
      <c r="N3" s="15"/>
      <c r="O3" s="15"/>
      <c r="P3" s="15"/>
      <c r="Q3" s="32" t="s">
        <v>36</v>
      </c>
      <c r="R3" s="32" t="s">
        <v>34</v>
      </c>
      <c r="S3" s="32" t="s">
        <v>34</v>
      </c>
      <c r="T3" s="32" t="s">
        <v>35</v>
      </c>
      <c r="U3" s="32" t="s">
        <v>36</v>
      </c>
    </row>
    <row r="4" spans="1:24" s="7" customFormat="1" ht="20.25" customHeight="1" x14ac:dyDescent="0.25">
      <c r="A4" s="40"/>
      <c r="B4" s="40"/>
      <c r="C4" s="42" t="s">
        <v>29</v>
      </c>
      <c r="D4" s="16" t="s">
        <v>30</v>
      </c>
      <c r="E4" s="16" t="s">
        <v>12</v>
      </c>
      <c r="F4" s="16" t="s">
        <v>13</v>
      </c>
      <c r="G4" s="16" t="s">
        <v>14</v>
      </c>
      <c r="H4" s="17" t="s">
        <v>43</v>
      </c>
      <c r="I4" s="16" t="s">
        <v>15</v>
      </c>
      <c r="J4" s="16" t="s">
        <v>16</v>
      </c>
      <c r="K4" s="16" t="s">
        <v>17</v>
      </c>
      <c r="L4" s="16" t="s">
        <v>39</v>
      </c>
      <c r="M4" s="16" t="s">
        <v>18</v>
      </c>
      <c r="N4" s="16" t="s">
        <v>19</v>
      </c>
      <c r="O4" s="16" t="s">
        <v>20</v>
      </c>
      <c r="P4" s="16" t="s">
        <v>21</v>
      </c>
      <c r="Q4" s="33"/>
      <c r="R4" s="33" t="s">
        <v>41</v>
      </c>
      <c r="S4" s="33" t="s">
        <v>42</v>
      </c>
      <c r="T4" s="33"/>
      <c r="U4" s="33"/>
    </row>
    <row r="5" spans="1:24" ht="17.25" x14ac:dyDescent="0.25">
      <c r="A5" s="41" t="s">
        <v>22</v>
      </c>
      <c r="B5" s="41" t="s">
        <v>60</v>
      </c>
      <c r="C5" s="41" t="s">
        <v>23</v>
      </c>
      <c r="D5" s="18" t="s">
        <v>28</v>
      </c>
      <c r="E5" s="18" t="s">
        <v>25</v>
      </c>
      <c r="F5" s="18" t="s">
        <v>40</v>
      </c>
      <c r="G5" s="18" t="s">
        <v>40</v>
      </c>
      <c r="H5" s="18" t="s">
        <v>24</v>
      </c>
      <c r="I5" s="18" t="s">
        <v>26</v>
      </c>
      <c r="J5" s="18" t="s">
        <v>27</v>
      </c>
      <c r="K5" s="18" t="s">
        <v>27</v>
      </c>
      <c r="L5" s="18" t="s">
        <v>28</v>
      </c>
      <c r="M5" s="18" t="s">
        <v>28</v>
      </c>
      <c r="N5" s="18" t="s">
        <v>28</v>
      </c>
      <c r="O5" s="18" t="s">
        <v>28</v>
      </c>
      <c r="P5" s="18" t="s">
        <v>28</v>
      </c>
      <c r="Q5" s="34" t="s">
        <v>37</v>
      </c>
      <c r="R5" s="34" t="s">
        <v>37</v>
      </c>
      <c r="S5" s="34" t="s">
        <v>37</v>
      </c>
      <c r="T5" s="34" t="s">
        <v>37</v>
      </c>
      <c r="U5" s="34" t="s">
        <v>37</v>
      </c>
    </row>
    <row r="6" spans="1:24" x14ac:dyDescent="0.25">
      <c r="A6" s="2">
        <v>1</v>
      </c>
      <c r="B6" s="2" t="s">
        <v>55</v>
      </c>
      <c r="C6" s="2" t="s">
        <v>29</v>
      </c>
      <c r="D6" s="5">
        <f>1/3</f>
        <v>0.33333333333333331</v>
      </c>
      <c r="E6" s="5">
        <v>0.8</v>
      </c>
      <c r="F6" s="6">
        <v>0.9</v>
      </c>
      <c r="G6" s="6">
        <v>0</v>
      </c>
      <c r="H6" s="2">
        <v>25</v>
      </c>
      <c r="I6" s="3">
        <v>2000</v>
      </c>
      <c r="J6" s="2">
        <v>1630</v>
      </c>
      <c r="K6" s="2">
        <v>1000</v>
      </c>
      <c r="L6" s="2">
        <v>1.1000000000000001</v>
      </c>
      <c r="M6" s="2">
        <v>1.25</v>
      </c>
      <c r="N6" s="4">
        <v>1</v>
      </c>
      <c r="O6" s="2">
        <v>1.1000000000000001</v>
      </c>
      <c r="P6" s="2">
        <v>1.1000000000000001</v>
      </c>
      <c r="Q6" s="5">
        <f>kleidijk(D6,E6,J6,K6,I6,H6,M6,L6,N6,O6,P6)</f>
        <v>0.73310664602974851</v>
      </c>
      <c r="R6" s="6">
        <f>Zanddijk_Opdrukken1(D6,E6,F6,G6,J6,K6,N6,O6,P6)</f>
        <v>1.1359807352230209</v>
      </c>
      <c r="S6" s="6">
        <f>Zanddijk_Opdrukken2(D6,E6,F6,G6,J6,K6,I6,H6,M6,L6,N6,O6,P6)</f>
        <v>1.8554767194396657</v>
      </c>
      <c r="T6" s="6">
        <f t="shared" ref="T6:T8" si="0">Zanddijk_Uitspoelen(D6,E6,F6,G6)</f>
        <v>2.6902819970007901</v>
      </c>
      <c r="U6" s="6">
        <f>Zanddijk_Afschuiven(D6,E6,F6,G6,J6,K6,I6,H6,M6,L6,N6,O6,P6)</f>
        <v>2.0369317781475806</v>
      </c>
    </row>
    <row r="7" spans="1:24" x14ac:dyDescent="0.25">
      <c r="A7" s="2">
        <v>2</v>
      </c>
      <c r="B7" s="2" t="s">
        <v>56</v>
      </c>
      <c r="C7" s="2" t="s">
        <v>29</v>
      </c>
      <c r="D7" s="5">
        <f>2.8^-1</f>
        <v>0.35714285714285715</v>
      </c>
      <c r="E7" s="5">
        <v>0.7</v>
      </c>
      <c r="F7" s="6">
        <v>1.25</v>
      </c>
      <c r="G7" s="6">
        <v>0</v>
      </c>
      <c r="H7" s="2">
        <v>20</v>
      </c>
      <c r="I7" s="3">
        <v>1000</v>
      </c>
      <c r="J7" s="2">
        <v>1750</v>
      </c>
      <c r="K7" s="2">
        <v>1025</v>
      </c>
      <c r="L7" s="2">
        <v>1.1000000000000001</v>
      </c>
      <c r="M7" s="2">
        <v>1.25</v>
      </c>
      <c r="N7" s="4">
        <v>1</v>
      </c>
      <c r="O7" s="2">
        <v>1.1000000000000001</v>
      </c>
      <c r="P7" s="2">
        <v>1.1000000000000001</v>
      </c>
      <c r="Q7" s="5">
        <f t="shared" ref="Q7:Q8" si="1">kleidijk(D7,E7,J7,K7,I7,H7,M7,L7,N7,O7,P7)</f>
        <v>0.48078750588298735</v>
      </c>
      <c r="R7" s="6">
        <f>Zanddijk_Opdrukken1(D7,E7,F7,G7,J7,K7,N7,O7,P7)</f>
        <v>0.74412987168953082</v>
      </c>
      <c r="S7" s="6">
        <f>Zanddijk_Opdrukken2(D7,E7,F7,G7,J7,K7,I7,H7,M7,L7,N7,O7,P7)</f>
        <v>1.0345475874218881</v>
      </c>
      <c r="T7" s="6">
        <f t="shared" si="0"/>
        <v>0.55792223802194718</v>
      </c>
      <c r="U7" s="6">
        <f>Zanddijk_Afschuiven(D7,E7,F7,G7,J7,K7,I7,H7,M7,L7,N7,O7,P7)</f>
        <v>1.2004135360708685</v>
      </c>
    </row>
    <row r="8" spans="1:24" x14ac:dyDescent="0.25">
      <c r="A8" s="2">
        <v>3</v>
      </c>
      <c r="B8" s="2" t="s">
        <v>57</v>
      </c>
      <c r="C8" s="2" t="s">
        <v>29</v>
      </c>
      <c r="D8" s="5">
        <f>1/3</f>
        <v>0.33333333333333331</v>
      </c>
      <c r="E8" s="5">
        <v>0.8</v>
      </c>
      <c r="F8" s="6">
        <v>0.9</v>
      </c>
      <c r="G8" s="6">
        <v>0</v>
      </c>
      <c r="H8" s="2">
        <v>25</v>
      </c>
      <c r="I8" s="3">
        <v>2000</v>
      </c>
      <c r="J8" s="2">
        <v>1630</v>
      </c>
      <c r="K8" s="2">
        <v>1000</v>
      </c>
      <c r="L8" s="2">
        <v>1.1000000000000001</v>
      </c>
      <c r="M8" s="2">
        <v>1.25</v>
      </c>
      <c r="N8" s="4">
        <v>1</v>
      </c>
      <c r="O8" s="2">
        <v>1.1000000000000001</v>
      </c>
      <c r="P8" s="2">
        <v>1.1000000000000001</v>
      </c>
      <c r="Q8" s="5">
        <f t="shared" si="1"/>
        <v>0.73310666001182756</v>
      </c>
      <c r="R8" s="6">
        <f>Zanddijk_Opdrukken1(D8,E8,F8,G8,J8,K8,N8,O8,P8)</f>
        <v>1.1359807352230209</v>
      </c>
      <c r="S8" s="6">
        <f>Zanddijk_Opdrukken2(D8,E8,F8,G8,J8,K8,I8,H8,M8,L8,N8,O8,P8)</f>
        <v>1.8554767194396657</v>
      </c>
      <c r="T8" s="6">
        <f t="shared" si="0"/>
        <v>2.6902819970007901</v>
      </c>
      <c r="U8" s="6">
        <f>Zanddijk_Afschuiven(D8,E8,F8,G8,J8,K8,I8,H8,M8,L8,N8,O8,P8)</f>
        <v>2.0369317781475806</v>
      </c>
    </row>
    <row r="9" spans="1:24" x14ac:dyDescent="0.25">
      <c r="A9" s="2">
        <v>4</v>
      </c>
      <c r="B9" s="2" t="s">
        <v>58</v>
      </c>
      <c r="C9" s="2" t="s">
        <v>31</v>
      </c>
      <c r="D9" s="5">
        <v>0.33</v>
      </c>
      <c r="E9" s="5">
        <v>0.3</v>
      </c>
      <c r="F9" s="6">
        <v>1.25</v>
      </c>
      <c r="G9" s="6">
        <v>0</v>
      </c>
      <c r="H9" s="2">
        <v>20</v>
      </c>
      <c r="I9" s="3">
        <v>2000</v>
      </c>
      <c r="J9" s="2">
        <v>1700</v>
      </c>
      <c r="K9" s="2">
        <v>1000</v>
      </c>
      <c r="L9" s="2">
        <v>1.1000000000000001</v>
      </c>
      <c r="M9" s="2">
        <v>1.25</v>
      </c>
      <c r="N9" s="4">
        <v>1</v>
      </c>
      <c r="O9" s="2">
        <v>1.1000000000000001</v>
      </c>
      <c r="P9" s="2">
        <v>1.1000000000000001</v>
      </c>
      <c r="Q9" s="5">
        <f t="shared" ref="Q9" si="2">kleidijk(D9,E9,J9,K9,I9,H9,M9,L9,N9,O9,P9)</f>
        <v>1.1845994500135018</v>
      </c>
      <c r="R9" s="6">
        <f>Zanddijk_Opdrukken1(D9,E9,F9,G9,J9,K9,N9,O9,P9)</f>
        <v>0.32020536267265698</v>
      </c>
      <c r="S9" s="6">
        <f>Zanddijk_Opdrukken2(D9,E9,F9,G9,J9,K9,I9,H9,M9,L9,N9,O9,P9)</f>
        <v>0.47994886598634956</v>
      </c>
      <c r="T9" s="6">
        <f>Zanddijk_Uitspoelen(D9,E9,F9,G9)</f>
        <v>0.14759363176905019</v>
      </c>
      <c r="U9" s="6">
        <f>Zanddijk_Afschuiven(D9,E9,F9,G9,J9,K9,I9,H9,M9,L9,N9,O9,P9)</f>
        <v>1.4550002567138303</v>
      </c>
      <c r="X9" s="8"/>
    </row>
  </sheetData>
  <mergeCells count="16">
    <mergeCell ref="I2:I3"/>
    <mergeCell ref="N2:N3"/>
    <mergeCell ref="H2:H3"/>
    <mergeCell ref="R2:U2"/>
    <mergeCell ref="O2:O3"/>
    <mergeCell ref="P2:P3"/>
    <mergeCell ref="M2:M3"/>
    <mergeCell ref="L2:L3"/>
    <mergeCell ref="K2:K3"/>
    <mergeCell ref="J2:J3"/>
    <mergeCell ref="F2:F3"/>
    <mergeCell ref="D2:D3"/>
    <mergeCell ref="E2:E3"/>
    <mergeCell ref="G2:G3"/>
    <mergeCell ref="A2:A3"/>
    <mergeCell ref="B2:B3"/>
  </mergeCells>
  <conditionalFormatting sqref="Q6:Q9">
    <cfRule type="expression" dxfId="11" priority="1">
      <formula>$C6 &lt;&gt; "kleidijk"</formula>
    </cfRule>
    <cfRule type="cellIs" dxfId="10" priority="4" operator="lessThan">
      <formula>1</formula>
    </cfRule>
  </conditionalFormatting>
  <conditionalFormatting sqref="R6:U9">
    <cfRule type="expression" dxfId="9" priority="5">
      <formula>$C6 = "kleidijk"</formula>
    </cfRule>
    <cfRule type="cellIs" dxfId="6" priority="11" operator="lessThan">
      <formula>1</formula>
    </cfRule>
  </conditionalFormatting>
  <conditionalFormatting sqref="Q8">
    <cfRule type="cellIs" dxfId="8" priority="13" operator="lessThan">
      <formula>1</formula>
    </cfRule>
  </conditionalFormatting>
  <conditionalFormatting sqref="F6:G9">
    <cfRule type="expression" dxfId="7" priority="2">
      <formula>$C6 = "kleidijk"</formula>
    </cfRule>
  </conditionalFormatting>
  <dataValidations count="1">
    <dataValidation type="list" allowBlank="1" showInputMessage="1" showErrorMessage="1" sqref="C6:C9">
      <formula1>$C$3:$C$4</formula1>
    </dataValidation>
  </dataValidations>
  <pageMargins left="0.7" right="0.7" top="0.75" bottom="0.75" header="0.3" footer="0.3"/>
  <pageSetup paperSize="9" orientation="portrait" r:id="rId1"/>
  <ignoredErrors>
    <ignoredError sqref="D7" 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6"/>
  <sheetViews>
    <sheetView workbookViewId="0">
      <selection activeCell="E1" sqref="E1"/>
    </sheetView>
  </sheetViews>
  <sheetFormatPr defaultRowHeight="15" x14ac:dyDescent="0.25"/>
  <cols>
    <col min="1" max="1" width="0.7109375" customWidth="1"/>
    <col min="2" max="2" width="23.42578125" bestFit="1" customWidth="1"/>
    <col min="3" max="3" width="80.28515625" customWidth="1"/>
    <col min="4" max="4" width="1" customWidth="1"/>
    <col min="5" max="5" width="60.85546875" customWidth="1"/>
    <col min="6" max="6" width="2.42578125" customWidth="1"/>
  </cols>
  <sheetData>
    <row r="1" spans="1:5" ht="20.25" customHeight="1" x14ac:dyDescent="0.3">
      <c r="A1" s="24"/>
      <c r="B1" s="24" t="s">
        <v>49</v>
      </c>
      <c r="C1" s="24"/>
      <c r="D1" s="24"/>
      <c r="E1" s="25" t="s">
        <v>50</v>
      </c>
    </row>
    <row r="2" spans="1:5" ht="94.5" customHeight="1" x14ac:dyDescent="0.25">
      <c r="A2" s="9"/>
      <c r="B2" s="10" t="s">
        <v>44</v>
      </c>
      <c r="C2" s="11"/>
      <c r="D2" s="9"/>
      <c r="E2" s="26" t="s">
        <v>51</v>
      </c>
    </row>
    <row r="3" spans="1:5" ht="94.5" customHeight="1" x14ac:dyDescent="0.25">
      <c r="A3" s="9"/>
      <c r="B3" s="10" t="s">
        <v>35</v>
      </c>
      <c r="C3" s="11"/>
      <c r="D3" s="9"/>
    </row>
    <row r="4" spans="1:5" ht="94.5" customHeight="1" x14ac:dyDescent="0.25">
      <c r="A4" s="9"/>
      <c r="B4" s="10" t="s">
        <v>36</v>
      </c>
      <c r="C4" s="11"/>
      <c r="D4" s="9"/>
    </row>
    <row r="5" spans="1:5" ht="6" customHeight="1" x14ac:dyDescent="0.25">
      <c r="A5" s="9"/>
      <c r="B5" s="9"/>
      <c r="C5" s="9"/>
      <c r="D5" s="9"/>
    </row>
    <row r="6" spans="1:5" ht="24.75" customHeight="1" x14ac:dyDescent="0.3">
      <c r="B6" s="24" t="s">
        <v>54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LEESMIJ</vt:lpstr>
      <vt:lpstr>rekenblad</vt:lpstr>
      <vt:lpstr>formules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Jan-Kees</dc:creator>
  <cp:lastModifiedBy>Jan-Kees</cp:lastModifiedBy>
  <dcterms:created xsi:type="dcterms:W3CDTF">2017-02-02T15:49:26Z</dcterms:created>
  <dcterms:modified xsi:type="dcterms:W3CDTF">2017-09-09T09:28:26Z</dcterms:modified>
</cp:coreProperties>
</file>